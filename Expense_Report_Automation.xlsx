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people.ey.com/personal/vanshika_pahuja_gds_ey_com/Documents/Documents/Expense_Report_Automation_Dashboard/"/>
    </mc:Choice>
  </mc:AlternateContent>
  <xr:revisionPtr revIDLastSave="2811" documentId="8_{917C89F4-005B-46F2-B0C4-58D5402FA5C7}" xr6:coauthVersionLast="47" xr6:coauthVersionMax="47" xr10:uidLastSave="{A740F960-6979-4DF1-9D75-80C40F7416AD}"/>
  <bookViews>
    <workbookView xWindow="-110" yWindow="-110" windowWidth="19420" windowHeight="11500" activeTab="3" xr2:uid="{C9B7BC66-27DA-448A-9364-9E08466054E8}"/>
  </bookViews>
  <sheets>
    <sheet name="Employee_Master Sheet" sheetId="2" r:id="rId1"/>
    <sheet name="Expense Raw Data" sheetId="1" r:id="rId2"/>
    <sheet name="Summary" sheetId="3" r:id="rId3"/>
    <sheet name="Dashboard" sheetId="5" r:id="rId4"/>
  </sheets>
  <definedNames>
    <definedName name="Slicer_Department">#N/A</definedName>
    <definedName name="Slicer_Employee_Name">#N/A</definedName>
    <definedName name="Slicer_Expense_Category">#N/A</definedName>
  </definedNames>
  <calcPr calcId="191029"/>
  <pivotCaches>
    <pivotCache cacheId="0" r:id="rId5"/>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F5" i="5"/>
  <c r="B5" i="5"/>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 r="C30" i="1"/>
  <c r="C31" i="1"/>
  <c r="B30" i="1"/>
  <c r="B31" i="1"/>
  <c r="C3" i="1"/>
  <c r="C4" i="1"/>
  <c r="C5" i="1"/>
  <c r="C6" i="1"/>
  <c r="C7" i="1"/>
  <c r="C8" i="1"/>
  <c r="C9" i="1"/>
  <c r="C10" i="1"/>
  <c r="C11" i="1"/>
  <c r="C12" i="1"/>
  <c r="C13" i="1"/>
  <c r="C14" i="1"/>
  <c r="C15" i="1"/>
  <c r="C16" i="1"/>
  <c r="C17" i="1"/>
  <c r="C18" i="1"/>
  <c r="C19" i="1"/>
  <c r="C20" i="1"/>
  <c r="C21" i="1"/>
  <c r="C22" i="1"/>
  <c r="C23" i="1"/>
  <c r="C24" i="1"/>
  <c r="C25" i="1"/>
  <c r="C26" i="1"/>
  <c r="C27" i="1"/>
  <c r="C28" i="1"/>
  <c r="C29"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2" i="1"/>
  <c r="D5" i="5"/>
</calcChain>
</file>

<file path=xl/sharedStrings.xml><?xml version="1.0" encoding="utf-8"?>
<sst xmlns="http://schemas.openxmlformats.org/spreadsheetml/2006/main" count="362" uniqueCount="91">
  <si>
    <t>Employee_Name</t>
  </si>
  <si>
    <t>Department</t>
  </si>
  <si>
    <t>Expense_Date</t>
  </si>
  <si>
    <t>Expense_Category</t>
  </si>
  <si>
    <t>Merchant</t>
  </si>
  <si>
    <t>Amount</t>
  </si>
  <si>
    <t xml:space="preserve">Bill_Attached </t>
  </si>
  <si>
    <t>Payment_Mode</t>
  </si>
  <si>
    <t>Policy_Limit</t>
  </si>
  <si>
    <t>Status</t>
  </si>
  <si>
    <t>Comments</t>
  </si>
  <si>
    <t>E001</t>
  </si>
  <si>
    <t>Rahul Sharma</t>
  </si>
  <si>
    <t>Sales</t>
  </si>
  <si>
    <t>Travel</t>
  </si>
  <si>
    <t>Uber</t>
  </si>
  <si>
    <t>Yes</t>
  </si>
  <si>
    <t>Card</t>
  </si>
  <si>
    <t>Pending</t>
  </si>
  <si>
    <t>E002</t>
  </si>
  <si>
    <t>E003</t>
  </si>
  <si>
    <t>E004</t>
  </si>
  <si>
    <t>E005</t>
  </si>
  <si>
    <t>E006</t>
  </si>
  <si>
    <t>E007</t>
  </si>
  <si>
    <t>E008</t>
  </si>
  <si>
    <t>E009</t>
  </si>
  <si>
    <t>E010</t>
  </si>
  <si>
    <t>Employee_ID</t>
  </si>
  <si>
    <t>Neha Gupta</t>
  </si>
  <si>
    <t>Arjun Verma</t>
  </si>
  <si>
    <t>Sonal Mehta</t>
  </si>
  <si>
    <t>Aman Singh</t>
  </si>
  <si>
    <t>Riya Malhotra</t>
  </si>
  <si>
    <t>Karan Patel</t>
  </si>
  <si>
    <t>Pooja Nair</t>
  </si>
  <si>
    <t>Rohan Iyer</t>
  </si>
  <si>
    <t>Nisha Jain</t>
  </si>
  <si>
    <t>Marketing</t>
  </si>
  <si>
    <t>Finance</t>
  </si>
  <si>
    <t>HR</t>
  </si>
  <si>
    <t>Operations</t>
  </si>
  <si>
    <t>Meals</t>
  </si>
  <si>
    <t>Stationery</t>
  </si>
  <si>
    <t>Client Meeting</t>
  </si>
  <si>
    <t>Software</t>
  </si>
  <si>
    <t>Starbucks</t>
  </si>
  <si>
    <t>Amazon</t>
  </si>
  <si>
    <t>KFC</t>
  </si>
  <si>
    <t>Ola</t>
  </si>
  <si>
    <t>Subway</t>
  </si>
  <si>
    <t>Taj Hotel</t>
  </si>
  <si>
    <t>Microsoft</t>
  </si>
  <si>
    <t>McDonalds</t>
  </si>
  <si>
    <t>BBQ Nation</t>
  </si>
  <si>
    <t>Flipkart</t>
  </si>
  <si>
    <t>Café Coffee Day</t>
  </si>
  <si>
    <t>Dominos</t>
  </si>
  <si>
    <t>ITC Hotel</t>
  </si>
  <si>
    <t>Zomato</t>
  </si>
  <si>
    <t>Leela Palace</t>
  </si>
  <si>
    <t>Swiggy</t>
  </si>
  <si>
    <t>No</t>
  </si>
  <si>
    <t>Cash</t>
  </si>
  <si>
    <t>-</t>
  </si>
  <si>
    <t>Policy_Violation</t>
  </si>
  <si>
    <t>Missing_Bill_Flag</t>
  </si>
  <si>
    <t>Cash_Payment_Flag</t>
  </si>
  <si>
    <t>Weekend_Expense_Flag</t>
  </si>
  <si>
    <t>Final_Status</t>
  </si>
  <si>
    <t>Row Labels</t>
  </si>
  <si>
    <t>Approved</t>
  </si>
  <si>
    <t>Review Required</t>
  </si>
  <si>
    <t>Grand Total</t>
  </si>
  <si>
    <t>Number of Expenses</t>
  </si>
  <si>
    <t>Count of Policy_Violation</t>
  </si>
  <si>
    <t>Count of Cash_Payment_Flag</t>
  </si>
  <si>
    <t>Sum of Amount</t>
  </si>
  <si>
    <t>Approval Status</t>
  </si>
  <si>
    <t>Policy Violations by Department</t>
  </si>
  <si>
    <t>Cash Payments by Department</t>
  </si>
  <si>
    <t xml:space="preserve">Top Employees by Spend </t>
  </si>
  <si>
    <t>Total Expenses</t>
  </si>
  <si>
    <t>Policy Violations</t>
  </si>
  <si>
    <t>Cash Payments</t>
  </si>
  <si>
    <t>Weekend Expenses</t>
  </si>
  <si>
    <t>Count of Cash_Payment</t>
  </si>
  <si>
    <t>Cash_Payment</t>
  </si>
  <si>
    <t>Category Breakdown</t>
  </si>
  <si>
    <t>Trend Over Time</t>
  </si>
  <si>
    <t>EXPENSE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</si>
</sst>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b/>
      <sz val="11"/>
      <color rgb="FFFF0000"/>
      <name val="Aptos Narrow"/>
      <family val="2"/>
      <scheme val="minor"/>
    </font>
    <font>
      <b/>
      <sz val="24"/>
      <color theme="1"/>
      <name val="Aptos Narrow"/>
      <family val="2"/>
      <scheme val="minor"/>
    </font>
    <font>
      <b/>
      <sz val="24"/>
      <color rgb="FF002060"/>
      <name val="Aptos Narrow"/>
      <family val="2"/>
      <scheme val="minor"/>
    </font>
    <font>
      <b/>
      <sz val="36"/>
      <color rgb="FF002060"/>
      <name val="Aptos Narrow"/>
      <family val="2"/>
      <scheme val="minor"/>
    </font>
  </fonts>
  <fills count="3">
    <fill>
      <patternFill patternType="none"/>
    </fill>
    <fill>
      <patternFill patternType="gray125"/>
    </fill>
    <fill>
      <patternFill patternType="solid">
        <fgColor theme="3" tint="0.749992370372631"/>
        <bgColor indexed="64"/>
      </patternFill>
    </fill>
  </fills>
  <borders count="1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0" fontId="0" fillId="0" borderId="3" xfId="0" applyBorder="1" applyAlignment="1">
      <alignment horizontal="center"/>
    </xf>
    <xf numFmtId="14" fontId="0" fillId="0" borderId="3" xfId="0" applyNumberFormat="1" applyBorder="1" applyAlignment="1">
      <alignment horizontal="center"/>
    </xf>
    <xf numFmtId="0" fontId="0" fillId="0" borderId="2" xfId="0" applyBorder="1"/>
    <xf numFmtId="0" fontId="0" fillId="0" borderId="1" xfId="0" applyBorder="1"/>
    <xf numFmtId="0" fontId="0" fillId="0" borderId="0" xfId="0" pivotButton="1"/>
    <xf numFmtId="0" fontId="1" fillId="0" borderId="0" xfId="0" pivotButton="1" applyFont="1"/>
    <xf numFmtId="0" fontId="1" fillId="0" borderId="4" xfId="0" applyFont="1" applyBorder="1" applyAlignment="1">
      <alignment horizont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xf numFmtId="0" fontId="3" fillId="0" borderId="0" xfId="0" applyFont="1"/>
    <xf numFmtId="0" fontId="3" fillId="0" borderId="0" xfId="0" applyFont="1" applyAlignment="1">
      <alignment horizontal="left"/>
    </xf>
    <xf numFmtId="0" fontId="0" fillId="0" borderId="0" xfId="0" applyNumberFormat="1"/>
    <xf numFmtId="14" fontId="0" fillId="0" borderId="0" xfId="0" applyNumberFormat="1" applyAlignment="1">
      <alignment horizontal="left"/>
    </xf>
    <xf numFmtId="0" fontId="5" fillId="2" borderId="6" xfId="0" applyFont="1" applyFill="1" applyBorder="1" applyAlignment="1">
      <alignment horizontal="center" vertical="center"/>
    </xf>
    <xf numFmtId="0" fontId="5"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cellXfs>
  <cellStyles count="1">
    <cellStyle name="Normal" xfId="0" builtinId="0"/>
  </cellStyles>
  <dxfs count="610">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b/>
      </font>
    </dxf>
    <dxf>
      <alignment horizontal="left"/>
    </dxf>
    <dxf>
      <font>
        <b/>
      </font>
    </dxf>
    <dxf>
      <alignment horizontal="left"/>
    </dxf>
    <dxf>
      <font>
        <b/>
      </font>
    </dxf>
    <dxf>
      <font>
        <b/>
      </font>
    </dxf>
    <dxf>
      <font>
        <color rgb="FFC00000"/>
      </font>
      <fill>
        <patternFill>
          <fgColor rgb="FFFCB2AE"/>
          <bgColor rgb="FFFFC7CE"/>
        </patternFill>
      </fill>
    </dxf>
    <dxf>
      <font>
        <color rgb="FFC00000"/>
      </font>
      <fill>
        <patternFill>
          <fgColor rgb="FFFCB2AE"/>
          <bgColor rgb="FFFCAAB8"/>
        </patternFill>
      </fill>
    </dxf>
    <dxf>
      <font>
        <color rgb="FFC00000"/>
      </font>
      <fill>
        <patternFill>
          <bgColor rgb="FFFCB2AE"/>
        </patternFill>
      </fill>
    </dxf>
    <dxf>
      <font>
        <color rgb="FFC00000"/>
      </font>
      <fill>
        <patternFill>
          <bgColor rgb="FFFCB2AE"/>
        </patternFill>
      </fill>
    </dxf>
    <dxf>
      <font>
        <color rgb="FFC00000"/>
      </font>
      <fill>
        <patternFill>
          <bgColor rgb="FFFCB2AE"/>
        </patternFill>
      </fill>
    </dxf>
    <dxf>
      <font>
        <b/>
      </font>
    </dxf>
    <dxf>
      <font>
        <b/>
      </font>
    </dxf>
    <dxf>
      <alignment horizontal="left"/>
    </dxf>
    <dxf>
      <font>
        <b/>
      </font>
    </dxf>
    <dxf>
      <alignment horizontal="left"/>
    </dxf>
    <dxf>
      <font>
        <b/>
      </font>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CB2AE"/>
      <color rgb="FFFCAAB8"/>
      <color rgb="FFF7B3C2"/>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[Expense_Report_Automation.xlsx]Dashboard!PivotTable1</c:name>
    <c:fmtId val="2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002060"/>
                </a:solidFill>
              </a:rPr>
              <a:t>Expense</a:t>
            </a:r>
            <a:r>
              <a:rPr lang="en-US" baseline="0">
                <a:solidFill>
                  <a:srgbClr val="002060"/>
                </a:solidFill>
              </a:rPr>
              <a:t> Approval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Dashboard!$C$54</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Dashboard!$B$55:$B$57</c:f>
              <c:strCache>
                <c:ptCount val="2"/>
                <c:pt idx="0">
                  <c:v>Approved</c:v>
                </c:pt>
                <c:pt idx="1">
                  <c:v>Review Required</c:v>
                </c:pt>
              </c:strCache>
            </c:strRef>
          </c:cat>
          <c:val>
            <c:numRef>
              <c:f>Dashboard!$C$55:$C$57</c:f>
              <c:numCache>
                <c:formatCode>General</c:formatCode>
                <c:ptCount val="2"/>
                <c:pt idx="0">
                  <c:v>9</c:v>
                </c:pt>
                <c:pt idx="1">
                  <c:v>21</c:v>
                </c:pt>
              </c:numCache>
            </c:numRef>
          </c:val>
          <c:extLst>
            <c:ext xmlns:c16="http://schemas.microsoft.com/office/drawing/2014/chart" uri="{C3380CC4-5D6E-409C-BE32-E72D297353CC}">
              <c16:uniqueId val="{00000000-2268-4696-91CD-F091A9634537}"/>
            </c:ext>
          </c:extLst>
        </c:ser>
        <c:dLbls>
          <c:dLblPos val="bestFit"/>
          <c:showLegendKey val="0"/>
          <c:showVal val="0"/>
          <c:showCatName val="0"/>
          <c:showSerName val="0"/>
          <c:showPercent val="1"/>
          <c:showBubbleSize val="0"/>
          <c:showLeaderLines val="1"/>
        </c:dLbls>
        <c:firstSliceAng val="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alpha val="8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[Expense_Report_Automation.xlsx]Dashboard!PivotTable2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rgbClr val="002060"/>
                </a:solidFill>
              </a:rPr>
              <a:t>Policy</a:t>
            </a:r>
            <a:r>
              <a:rPr lang="en-US" sz="1400" baseline="0">
                <a:solidFill>
                  <a:srgbClr val="002060"/>
                </a:solidFill>
              </a:rPr>
              <a:t> Violations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Dashboard!$G$56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Dashboard!$F$57:$F$62</c:f>
              <c:strCache>
                <c:ptCount val="5"/>
                <c:pt idx="0">
                  <c:v>Finance</c:v>
                </c:pt>
                <c:pt idx="1">
                  <c:v>HR</c:v>
                </c:pt>
                <c:pt idx="2">
                  <c:v>Marketing</c:v>
                </c:pt>
                <c:pt idx="3">
                  <c:v>Operations</c:v>
                </c:pt>
                <c:pt idx="4">
                  <c:v>Sales</c:v>
                </c:pt>
              </c:strCache>
            </c:strRef>
          </c:cat>
          <c:val>
            <c:numRef>
              <c:f>Dashboard!$G$57:$G$62</c:f>
              <c:numCache>
                <c:formatCode>General</c:formatCode>
                <c:ptCount val="5"/>
                <c:pt idx="0">
                  <c:v>3</c:v>
                </c:pt>
                <c:pt idx="1">
                  <c:v>3</c:v>
                </c:pt>
                <c:pt idx="2">
                  <c:v>2</c:v>
                </c:pt>
                <c:pt idx="3">
                  <c:v>3</c:v>
                </c:pt>
                <c:pt idx="4">
                  <c:v>7</c:v>
                </c:pt>
              </c:numCache>
            </c:numRef>
          </c:val>
          <c:extLst>
            <c:ext xmlns:c16="http://schemas.microsoft.com/office/drawing/2014/chart" uri="{C3380CC4-5D6E-409C-BE32-E72D297353CC}">
              <c16:uniqueId val="{00000000-B5DB-409A-A6D4-71F778A47B7A}"/>
            </c:ext>
          </c:extLst>
        </c:ser>
        <c:dLbls>
          <c:dLblPos val="outEnd"/>
          <c:showLegendKey val="0"/>
          <c:showVal val="1"/>
          <c:showCatName val="0"/>
          <c:showSerName val="0"/>
          <c:showPercent val="0"/>
          <c:showBubbleSize val="0"/>
        </c:dLbls>
        <c:gapWidth val="355"/>
        <c:overlap val="-70"/>
        <c:axId val="1785082511"/>
        <c:axId val="1785085391"/>
      </c:barChart>
      <c:catAx>
        <c:axId val="178508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5391"/>
        <c:crosses val="autoZero"/>
        <c:auto val="1"/>
        <c:lblAlgn val="ctr"/>
        <c:lblOffset val="100"/>
        <c:noMultiLvlLbl val="0"/>
      </c:catAx>
      <c:valAx>
        <c:axId val="1785085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[Expense_Report_Automation.xlsx]Dashboard!PivotTable3</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rgbClr val="002060"/>
                </a:solidFill>
              </a:rPr>
              <a:t>Cash</a:t>
            </a:r>
            <a:r>
              <a:rPr lang="en-US" sz="1400" baseline="0">
                <a:solidFill>
                  <a:srgbClr val="002060"/>
                </a:solidFill>
              </a:rPr>
              <a:t> Payments by Department</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Dashboard!$C$67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Dashboard!$B$68:$B$73</c:f>
              <c:strCache>
                <c:ptCount val="5"/>
                <c:pt idx="0">
                  <c:v>Finance</c:v>
                </c:pt>
                <c:pt idx="1">
                  <c:v>HR</c:v>
                </c:pt>
                <c:pt idx="2">
                  <c:v>Marketing</c:v>
                </c:pt>
                <c:pt idx="3">
                  <c:v>Operations</c:v>
                </c:pt>
                <c:pt idx="4">
                  <c:v>Sales</c:v>
                </c:pt>
              </c:strCache>
            </c:strRef>
          </c:cat>
          <c:val>
            <c:numRef>
              <c:f>Dashboard!$C$68:$C$73</c:f>
              <c:numCache>
                <c:formatCode>General</c:formatCode>
                <c:ptCount val="5"/>
                <c:pt idx="0">
                  <c:v>1</c:v>
                </c:pt>
                <c:pt idx="1">
                  <c:v>2</c:v>
                </c:pt>
                <c:pt idx="2">
                  <c:v>1</c:v>
                </c:pt>
                <c:pt idx="3">
                  <c:v>1</c:v>
                </c:pt>
                <c:pt idx="4">
                  <c:v>1</c:v>
                </c:pt>
              </c:numCache>
            </c:numRef>
          </c:val>
          <c:extLst>
            <c:ext xmlns:c16="http://schemas.microsoft.com/office/drawing/2014/chart" uri="{C3380CC4-5D6E-409C-BE32-E72D297353CC}">
              <c16:uniqueId val="{00000000-1619-409F-ADDC-F8CA9EF2F46F}"/>
            </c:ext>
          </c:extLst>
        </c:ser>
        <c:dLbls>
          <c:dLblPos val="outEnd"/>
          <c:showLegendKey val="0"/>
          <c:showVal val="1"/>
          <c:showCatName val="0"/>
          <c:showSerName val="0"/>
          <c:showPercent val="0"/>
          <c:showBubbleSize val="0"/>
        </c:dLbls>
        <c:gapWidth val="355"/>
        <c:overlap val="-70"/>
        <c:axId val="249376687"/>
        <c:axId val="249377167"/>
      </c:barChart>
      <c:catAx>
        <c:axId val="24937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77167"/>
        <c:crosses val="autoZero"/>
        <c:auto val="1"/>
        <c:lblAlgn val="ctr"/>
        <c:lblOffset val="100"/>
        <c:noMultiLvlLbl val="0"/>
      </c:catAx>
      <c:valAx>
        <c:axId val="24937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7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[Expense_Report_Automation.xlsx]Dashboard!PivotTable4</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rgbClr val="002060"/>
                </a:solidFill>
              </a:rPr>
              <a:t>Top</a:t>
            </a:r>
            <a:r>
              <a:rPr lang="en-US" sz="1400" baseline="0">
                <a:solidFill>
                  <a:srgbClr val="002060"/>
                </a:solidFill>
              </a:rPr>
              <a:t> Employees By Total Spend</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32171029952636E-2"/>
          <c:y val="0.21087613941494984"/>
          <c:w val="0.78889150624676485"/>
          <c:h val="0.43567578889405328"/>
        </c:manualLayout>
      </c:layout>
      <c:barChart>
        <c:barDir val="col"/>
        <c:grouping val="clustered"/>
        <c:varyColors val="0"/>
        <c:ser>
          <c:idx val="0"/>
          <c:order val="0"/>
          <c:tx>
            <c:strRef>
              <c:f>Dashboard!$G$65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Dashboard!$F$66:$F$76</c:f>
              <c:strCache>
                <c:ptCount val="10"/>
                <c:pt idx="0">
                  <c:v>Rohan Iyer</c:v>
                </c:pt>
                <c:pt idx="1">
                  <c:v>Karan Patel</c:v>
                </c:pt>
                <c:pt idx="2">
                  <c:v>Neha Gupta</c:v>
                </c:pt>
                <c:pt idx="3">
                  <c:v>Riya Malhotra</c:v>
                </c:pt>
                <c:pt idx="4">
                  <c:v>Aman Singh</c:v>
                </c:pt>
                <c:pt idx="5">
                  <c:v>Arjun Verma</c:v>
                </c:pt>
                <c:pt idx="6">
                  <c:v>Nisha Jain</c:v>
                </c:pt>
                <c:pt idx="7">
                  <c:v>Sonal Mehta</c:v>
                </c:pt>
                <c:pt idx="8">
                  <c:v>Rahul Sharma</c:v>
                </c:pt>
                <c:pt idx="9">
                  <c:v>Pooja Nair</c:v>
                </c:pt>
              </c:strCache>
            </c:strRef>
          </c:cat>
          <c:val>
            <c:numRef>
              <c:f>Dashboard!$G$66:$G$76</c:f>
              <c:numCache>
                <c:formatCode>General</c:formatCode>
                <c:ptCount val="10"/>
                <c:pt idx="0">
                  <c:v>8320</c:v>
                </c:pt>
                <c:pt idx="1">
                  <c:v>5550</c:v>
                </c:pt>
                <c:pt idx="2">
                  <c:v>5350</c:v>
                </c:pt>
                <c:pt idx="3">
                  <c:v>4550</c:v>
                </c:pt>
                <c:pt idx="4">
                  <c:v>2850</c:v>
                </c:pt>
                <c:pt idx="5">
                  <c:v>2050</c:v>
                </c:pt>
                <c:pt idx="6">
                  <c:v>1980</c:v>
                </c:pt>
                <c:pt idx="7">
                  <c:v>1750</c:v>
                </c:pt>
                <c:pt idx="8">
                  <c:v>1430</c:v>
                </c:pt>
                <c:pt idx="9">
                  <c:v>1170</c:v>
                </c:pt>
              </c:numCache>
            </c:numRef>
          </c:val>
          <c:extLst>
            <c:ext xmlns:c16="http://schemas.microsoft.com/office/drawing/2014/chart" uri="{C3380CC4-5D6E-409C-BE32-E72D297353CC}">
              <c16:uniqueId val="{00000000-9616-468A-914A-1B65F0B530DA}"/>
            </c:ext>
          </c:extLst>
        </c:ser>
        <c:dLbls>
          <c:showLegendKey val="0"/>
          <c:showVal val="0"/>
          <c:showCatName val="0"/>
          <c:showSerName val="0"/>
          <c:showPercent val="0"/>
          <c:showBubbleSize val="0"/>
        </c:dLbls>
        <c:gapWidth val="355"/>
        <c:overlap val="-70"/>
        <c:axId val="2045618191"/>
        <c:axId val="2045616271"/>
      </c:barChart>
      <c:catAx>
        <c:axId val="204561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16271"/>
        <c:crosses val="autoZero"/>
        <c:auto val="1"/>
        <c:lblAlgn val="ctr"/>
        <c:lblOffset val="100"/>
        <c:noMultiLvlLbl val="0"/>
      </c:catAx>
      <c:valAx>
        <c:axId val="2045616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[Expense_Report_Automation.xlsx]Dashboard!PivotTable5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002060"/>
                </a:solidFill>
              </a:rPr>
              <a:t>Expense</a:t>
            </a:r>
            <a:r>
              <a:rPr lang="en-US" baseline="0">
                <a:solidFill>
                  <a:srgbClr val="002060"/>
                </a:solidFill>
              </a:rPr>
              <a:t> Distribution By Category</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Dashboard!$C$79</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Dashboard!$B$80:$B$85</c:f>
              <c:strCache>
                <c:ptCount val="5"/>
                <c:pt idx="0">
                  <c:v>Client Meeting</c:v>
                </c:pt>
                <c:pt idx="1">
                  <c:v>Meals</c:v>
                </c:pt>
                <c:pt idx="2">
                  <c:v>Software</c:v>
                </c:pt>
                <c:pt idx="3">
                  <c:v>Stationery</c:v>
                </c:pt>
                <c:pt idx="4">
                  <c:v>Travel</c:v>
                </c:pt>
              </c:strCache>
            </c:strRef>
          </c:cat>
          <c:val>
            <c:numRef>
              <c:f>Dashboard!$C$80:$C$85</c:f>
              <c:numCache>
                <c:formatCode>General</c:formatCode>
                <c:ptCount val="5"/>
                <c:pt idx="0">
                  <c:v>15200</c:v>
                </c:pt>
                <c:pt idx="1">
                  <c:v>5370</c:v>
                </c:pt>
                <c:pt idx="2">
                  <c:v>4500</c:v>
                </c:pt>
                <c:pt idx="3">
                  <c:v>3350</c:v>
                </c:pt>
                <c:pt idx="4">
                  <c:v>6580</c:v>
                </c:pt>
              </c:numCache>
            </c:numRef>
          </c:val>
          <c:extLst>
            <c:ext xmlns:c16="http://schemas.microsoft.com/office/drawing/2014/chart" uri="{C3380CC4-5D6E-409C-BE32-E72D297353CC}">
              <c16:uniqueId val="{00000000-F69D-40B6-8393-BA7E94A5D021}"/>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[Expense_Report_Automation.xlsx]Dashboard!PivotTable6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EXPENSE</a:t>
            </a:r>
            <a:r>
              <a:rPr lang="en-US" b="1" baseline="0">
                <a:solidFill>
                  <a:srgbClr val="002060"/>
                </a:solidFill>
              </a:rPr>
              <a:t> TREND OVER TIME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Dashboard!$G$79</c:f>
              <c:strCache>
                <c:ptCount val="1"/>
                <c:pt idx="0">
                  <c:v>Total</c:v>
                </c:pt>
              </c:strCache>
            </c:strRef>
          </c:tx>
          <c:spPr>
            <a:ln w="28575" cap="rnd">
              <a:solidFill>
                <a:schemeClr val="accent1"/>
              </a:solidFill>
              <a:round/>
            </a:ln>
            <a:effectLst/>
          </c:spPr>
          <c:marker>
            <c:symbol val="none"/>
          </c:marker>
          <c:cat>
            <c:strRef>
              <c:f>Dashboard!$F$80:$F$107</c:f>
              <c:strCache>
                <c:ptCount val="27"/>
                <c:pt idx="0">
                  <c:v>02-01-2025</c:v>
                </c:pt>
                <c:pt idx="1">
                  <c:v>03-01-2025</c:v>
                </c:pt>
                <c:pt idx="2">
                  <c:v>05-01-2025</c:v>
                </c:pt>
                <c:pt idx="3">
                  <c:v>08-01-2025</c:v>
                </c:pt>
                <c:pt idx="4">
                  <c:v>09-01-2025</c:v>
                </c:pt>
                <c:pt idx="5">
                  <c:v>10-01-2025</c:v>
                </c:pt>
                <c:pt idx="6">
                  <c:v>11-01-2025</c:v>
                </c:pt>
                <c:pt idx="7">
                  <c:v>12-01-2025</c:v>
                </c:pt>
                <c:pt idx="8">
                  <c:v>13-01-2025</c:v>
                </c:pt>
                <c:pt idx="9">
                  <c:v>14-01-2025</c:v>
                </c:pt>
                <c:pt idx="10">
                  <c:v>15-01-2025</c:v>
                </c:pt>
                <c:pt idx="11">
                  <c:v>16-01-2025</c:v>
                </c:pt>
                <c:pt idx="12">
                  <c:v>17-01-2025</c:v>
                </c:pt>
                <c:pt idx="13">
                  <c:v>18-01-2025</c:v>
                </c:pt>
                <c:pt idx="14">
                  <c:v>19-01-2025</c:v>
                </c:pt>
                <c:pt idx="15">
                  <c:v>20-01-2025</c:v>
                </c:pt>
                <c:pt idx="16">
                  <c:v>21-01-2025</c:v>
                </c:pt>
                <c:pt idx="17">
                  <c:v>22-01-2025</c:v>
                </c:pt>
                <c:pt idx="18">
                  <c:v>23-01-2025</c:v>
                </c:pt>
                <c:pt idx="19">
                  <c:v>24-01-2025</c:v>
                </c:pt>
                <c:pt idx="20">
                  <c:v>25-01-2025</c:v>
                </c:pt>
                <c:pt idx="21">
                  <c:v>26-01-2025</c:v>
                </c:pt>
                <c:pt idx="22">
                  <c:v>27-01-2025</c:v>
                </c:pt>
                <c:pt idx="23">
                  <c:v>28-01-2025</c:v>
                </c:pt>
                <c:pt idx="24">
                  <c:v>29-01-2025</c:v>
                </c:pt>
                <c:pt idx="25">
                  <c:v>30-01-2025</c:v>
                </c:pt>
                <c:pt idx="26">
                  <c:v>31-01-2025</c:v>
                </c:pt>
              </c:strCache>
            </c:strRef>
          </c:cat>
          <c:val>
            <c:numRef>
              <c:f>Dashboard!$G$80:$G$107</c:f>
              <c:numCache>
                <c:formatCode>General</c:formatCode>
                <c:ptCount val="27"/>
                <c:pt idx="0">
                  <c:v>350</c:v>
                </c:pt>
                <c:pt idx="1">
                  <c:v>750</c:v>
                </c:pt>
                <c:pt idx="2">
                  <c:v>1800</c:v>
                </c:pt>
                <c:pt idx="3">
                  <c:v>900</c:v>
                </c:pt>
                <c:pt idx="4">
                  <c:v>450</c:v>
                </c:pt>
                <c:pt idx="5">
                  <c:v>400</c:v>
                </c:pt>
                <c:pt idx="6">
                  <c:v>3200</c:v>
                </c:pt>
                <c:pt idx="7">
                  <c:v>4500</c:v>
                </c:pt>
                <c:pt idx="8">
                  <c:v>550</c:v>
                </c:pt>
                <c:pt idx="9">
                  <c:v>200</c:v>
                </c:pt>
                <c:pt idx="10">
                  <c:v>2800</c:v>
                </c:pt>
                <c:pt idx="11">
                  <c:v>850</c:v>
                </c:pt>
                <c:pt idx="12">
                  <c:v>650</c:v>
                </c:pt>
                <c:pt idx="13">
                  <c:v>300</c:v>
                </c:pt>
                <c:pt idx="14">
                  <c:v>1100</c:v>
                </c:pt>
                <c:pt idx="15">
                  <c:v>450</c:v>
                </c:pt>
                <c:pt idx="16">
                  <c:v>520</c:v>
                </c:pt>
                <c:pt idx="17">
                  <c:v>5000</c:v>
                </c:pt>
                <c:pt idx="18">
                  <c:v>650</c:v>
                </c:pt>
                <c:pt idx="19">
                  <c:v>480</c:v>
                </c:pt>
                <c:pt idx="20">
                  <c:v>4200</c:v>
                </c:pt>
                <c:pt idx="21">
                  <c:v>300</c:v>
                </c:pt>
                <c:pt idx="22">
                  <c:v>550</c:v>
                </c:pt>
                <c:pt idx="23">
                  <c:v>1300</c:v>
                </c:pt>
                <c:pt idx="24">
                  <c:v>700</c:v>
                </c:pt>
                <c:pt idx="25">
                  <c:v>600</c:v>
                </c:pt>
                <c:pt idx="26">
                  <c:v>1450</c:v>
                </c:pt>
              </c:numCache>
            </c:numRef>
          </c:val>
          <c:smooth val="0"/>
          <c:extLst>
            <c:ext xmlns:c16="http://schemas.microsoft.com/office/drawing/2014/chart" uri="{C3380CC4-5D6E-409C-BE32-E72D297353CC}">
              <c16:uniqueId val="{00000000-124D-47B9-A4CF-6728157F1EFE}"/>
            </c:ext>
          </c:extLst>
        </c:ser>
        <c:dLbls>
          <c:showLegendKey val="0"/>
          <c:showVal val="0"/>
          <c:showCatName val="0"/>
          <c:showSerName val="0"/>
          <c:showPercent val="0"/>
          <c:showBubbleSize val="0"/>
        </c:dLbls>
        <c:smooth val="0"/>
        <c:axId val="1800164176"/>
        <c:axId val="1800165136"/>
      </c:lineChart>
      <c:catAx>
        <c:axId val="180016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165136"/>
        <c:crosses val="autoZero"/>
        <c:auto val="1"/>
        <c:lblAlgn val="ctr"/>
        <c:lblOffset val="100"/>
        <c:noMultiLvlLbl val="0"/>
      </c:catAx>
      <c:valAx>
        <c:axId val="180016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16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144676</xdr:colOff>
      <xdr:row>6</xdr:row>
      <xdr:rowOff>141547</xdr:rowOff>
    </xdr:from>
    <xdr:to>
      <xdr:col>3</xdr:col>
      <xdr:colOff>1006169</xdr:colOff>
      <xdr:row>21</xdr:row>
      <xdr:rowOff>136849</xdr:rowOff>
    </xdr:to>
    <xdr:graphicFrame macro="">
      <xdr:nvGraphicFramePr>
        <xdr:cNvPr id="2" name="Chart 1">
          <a:extLst>
            <a:ext uri="{FF2B5EF4-FFF2-40B4-BE49-F238E27FC236}">
              <a16:creationId xmlns:a16="http://schemas.microsoft.com/office/drawing/2014/main" id="{083F9E81-6B5F-AAA7-9897-F6F04CD8E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151453</xdr:colOff>
      <xdr:row>25</xdr:row>
      <xdr:rowOff>56694</xdr:rowOff>
    </xdr:from>
    <xdr:to>
      <xdr:col>3</xdr:col>
      <xdr:colOff>997858</xdr:colOff>
      <xdr:row>40</xdr:row>
      <xdr:rowOff>36278</xdr:rowOff>
    </xdr:to>
    <xdr:graphicFrame macro="">
      <xdr:nvGraphicFramePr>
        <xdr:cNvPr id="6" name="Chart 5">
          <a:extLst>
            <a:ext uri="{FF2B5EF4-FFF2-40B4-BE49-F238E27FC236}">
              <a16:creationId xmlns:a16="http://schemas.microsoft.com/office/drawing/2014/main" id="{93880B79-5795-55D9-9B60-EB86FE1F4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1293798</xdr:colOff>
      <xdr:row>6</xdr:row>
      <xdr:rowOff>166913</xdr:rowOff>
    </xdr:from>
    <xdr:to>
      <xdr:col>6</xdr:col>
      <xdr:colOff>417271</xdr:colOff>
      <xdr:row>21</xdr:row>
      <xdr:rowOff>148997</xdr:rowOff>
    </xdr:to>
    <xdr:graphicFrame macro="">
      <xdr:nvGraphicFramePr>
        <xdr:cNvPr id="7" name="Chart 6">
          <a:extLst>
            <a:ext uri="{FF2B5EF4-FFF2-40B4-BE49-F238E27FC236}">
              <a16:creationId xmlns:a16="http://schemas.microsoft.com/office/drawing/2014/main" id="{957E89BA-46D1-317F-0808-11AF1A35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699041</xdr:colOff>
      <xdr:row>25</xdr:row>
      <xdr:rowOff>55449</xdr:rowOff>
    </xdr:from>
    <xdr:to>
      <xdr:col>10</xdr:col>
      <xdr:colOff>517072</xdr:colOff>
      <xdr:row>40</xdr:row>
      <xdr:rowOff>36285</xdr:rowOff>
    </xdr:to>
    <xdr:graphicFrame macro="">
      <xdr:nvGraphicFramePr>
        <xdr:cNvPr id="8" name="Chart 7">
          <a:extLst>
            <a:ext uri="{FF2B5EF4-FFF2-40B4-BE49-F238E27FC236}">
              <a16:creationId xmlns:a16="http://schemas.microsoft.com/office/drawing/2014/main" id="{3883E284-E9B0-78A2-3F7B-05873B640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711545</xdr:colOff>
      <xdr:row>6</xdr:row>
      <xdr:rowOff>163285</xdr:rowOff>
    </xdr:from>
    <xdr:to>
      <xdr:col>10</xdr:col>
      <xdr:colOff>493831</xdr:colOff>
      <xdr:row>21</xdr:row>
      <xdr:rowOff>147524</xdr:rowOff>
    </xdr:to>
    <xdr:graphicFrame macro="">
      <xdr:nvGraphicFramePr>
        <xdr:cNvPr id="9" name="Chart 8">
          <a:extLst>
            <a:ext uri="{FF2B5EF4-FFF2-40B4-BE49-F238E27FC236}">
              <a16:creationId xmlns:a16="http://schemas.microsoft.com/office/drawing/2014/main" id="{93DE67DD-289F-B2B5-7C73-66155BB6A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1301167</xdr:colOff>
      <xdr:row>25</xdr:row>
      <xdr:rowOff>55449</xdr:rowOff>
    </xdr:from>
    <xdr:to>
      <xdr:col>6</xdr:col>
      <xdr:colOff>444486</xdr:colOff>
      <xdr:row>40</xdr:row>
      <xdr:rowOff>36286</xdr:rowOff>
    </xdr:to>
    <xdr:graphicFrame macro="">
      <xdr:nvGraphicFramePr>
        <xdr:cNvPr id="10" name="Chart 9">
          <a:extLst>
            <a:ext uri="{FF2B5EF4-FFF2-40B4-BE49-F238E27FC236}">
              <a16:creationId xmlns:a16="http://schemas.microsoft.com/office/drawing/2014/main" id="{3200B334-B628-2DFE-A964-E77CFA6DD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83836</xdr:colOff>
      <xdr:row>0</xdr:row>
      <xdr:rowOff>134561</xdr:rowOff>
    </xdr:from>
    <xdr:to>
      <xdr:col>14</xdr:col>
      <xdr:colOff>89279</xdr:colOff>
      <xdr:row>9</xdr:row>
      <xdr:rowOff>171221</xdr:rowOff>
    </xdr:to>
    <mc:AlternateContent xmlns:mc="http://schemas.openxmlformats.org/markup-compatibility/2006">
      <mc:Choice xmlns:a14="http://schemas.microsoft.com/office/drawing/2010/main" Requires="a14">
        <xdr:graphicFrame macro="">
          <xdr:nvGraphicFramePr>
            <xdr:cNvPr id="15" name="Employee_Name">
              <a:extLst>
                <a:ext uri="{FF2B5EF4-FFF2-40B4-BE49-F238E27FC236}">
                  <a16:creationId xmlns:a16="http://schemas.microsoft.com/office/drawing/2014/main" id="{7C0E5D15-890E-2DA4-FE5A-4E358E991000}"/>
                </a:ext>
              </a:extLst>
            </xdr:cNvPr>
            <xdr:cNvGraphicFramePr/>
          </xdr:nvGraphicFramePr>
          <xdr:xfrm>
            <a:off x="0" y="0"/>
            <a:ext cx="0" cy="0"/>
          </xdr:xfrm>
          <a:graphic>
            <a:graphicData uri="http://schemas.microsoft.com/office/drawing/2010/slicer">
              <sle:slicer xmlns:sle="http://schemas.microsoft.com/office/drawing/2010/slicer" name="Employee_Name"/>
            </a:graphicData>
          </a:graphic>
        </xdr:graphicFrame>
      </mc:Choice>
      <mc:Fallback>
        <xdr:sp macro="" textlink="">
          <xdr:nvSpPr>
            <xdr:cNvPr id="0" name=""/>
            <xdr:cNvSpPr>
              <a:spLocks noTextEdit="1"/>
            </xdr:cNvSpPr>
          </xdr:nvSpPr>
          <xdr:spPr>
            <a:xfrm>
              <a:off x="14752336" y="134561"/>
              <a:ext cx="1828800" cy="2612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100841</xdr:colOff>
      <xdr:row>25</xdr:row>
      <xdr:rowOff>123981</xdr:rowOff>
    </xdr:from>
    <xdr:to>
      <xdr:col>14</xdr:col>
      <xdr:colOff>106284</xdr:colOff>
      <xdr:row>40</xdr:row>
      <xdr:rowOff>15499</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7354B240-E86E-EB97-A9FE-D6A9926DCC6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769341" y="5603124"/>
              <a:ext cx="1828800" cy="2612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81189</xdr:colOff>
      <xdr:row>10</xdr:row>
      <xdr:rowOff>95479</xdr:rowOff>
    </xdr:from>
    <xdr:to>
      <xdr:col>14</xdr:col>
      <xdr:colOff>86632</xdr:colOff>
      <xdr:row>24</xdr:row>
      <xdr:rowOff>166913</xdr:rowOff>
    </xdr:to>
    <mc:AlternateContent xmlns:mc="http://schemas.openxmlformats.org/markup-compatibility/2006">
      <mc:Choice xmlns:a14="http://schemas.microsoft.com/office/drawing/2010/main" Requires="a14">
        <xdr:graphicFrame macro="">
          <xdr:nvGraphicFramePr>
            <xdr:cNvPr id="17" name="Expense_Category">
              <a:extLst>
                <a:ext uri="{FF2B5EF4-FFF2-40B4-BE49-F238E27FC236}">
                  <a16:creationId xmlns:a16="http://schemas.microsoft.com/office/drawing/2014/main" id="{D9A01CCD-3972-93A9-560F-1E51BC3935D6}"/>
                </a:ext>
              </a:extLst>
            </xdr:cNvPr>
            <xdr:cNvGraphicFramePr/>
          </xdr:nvGraphicFramePr>
          <xdr:xfrm>
            <a:off x="0" y="0"/>
            <a:ext cx="0" cy="0"/>
          </xdr:xfrm>
          <a:graphic>
            <a:graphicData uri="http://schemas.microsoft.com/office/drawing/2010/slicer">
              <sle:slicer xmlns:sle="http://schemas.microsoft.com/office/drawing/2010/slicer" name="Expense_Category"/>
            </a:graphicData>
          </a:graphic>
        </xdr:graphicFrame>
      </mc:Choice>
      <mc:Fallback>
        <xdr:sp macro="" textlink="">
          <xdr:nvSpPr>
            <xdr:cNvPr id="0" name=""/>
            <xdr:cNvSpPr>
              <a:spLocks noTextEdit="1"/>
            </xdr:cNvSpPr>
          </xdr:nvSpPr>
          <xdr:spPr>
            <a:xfrm>
              <a:off x="14749689" y="2853193"/>
              <a:ext cx="1828800" cy="2611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Pahuja" refreshedDate="46018.06751400463" createdVersion="8" refreshedVersion="8" minRefreshableVersion="3" recordCount="30" xr:uid="{D16EE5C9-0779-47F5-9263-6FDE84FFAE0B}">
  <cacheSource type="worksheet">
    <worksheetSource ref="A1:Q31" sheet="Expense Raw Data"/>
  </cacheSource>
  <cacheFields count="17">
    <cacheField name="Employee_ID" numFmtId="0">
      <sharedItems/>
    </cacheField>
    <cacheField name="Employee_Name" numFmtId="0">
      <sharedItems count="10">
        <s v="Rahul Sharma"/>
        <s v="Neha Gupta"/>
        <s v="Arjun Verma"/>
        <s v="Sonal Mehta"/>
        <s v="Aman Singh"/>
        <s v="Riya Malhotra"/>
        <s v="Karan Patel"/>
        <s v="Pooja Nair"/>
        <s v="Rohan Iyer"/>
        <s v="Nisha Jain"/>
      </sharedItems>
    </cacheField>
    <cacheField name="Department" numFmtId="0">
      <sharedItems count="5">
        <s v="Sales"/>
        <s v="Marketing"/>
        <s v="Finance"/>
        <s v="HR"/>
        <s v="Operations"/>
      </sharedItems>
    </cacheField>
    <cacheField name="Expense_Date" numFmtId="14">
      <sharedItems containsSemiMixedTypes="0" containsNonDate="0" containsDate="1" containsString="0" minDate="2025-01-02T00:00:00" maxDate="2025-02-01T00:00:00"/>
    </cacheField>
    <cacheField name="Expense_Category" numFmtId="0">
      <sharedItems count="5">
        <s v="Travel"/>
        <s v="Meals"/>
        <s v="Stationery"/>
        <s v="Client Meeting"/>
        <s v="Software"/>
      </sharedItems>
    </cacheField>
    <cacheField name="Merchant" numFmtId="0">
      <sharedItems/>
    </cacheField>
    <cacheField name="Amount" numFmtId="0">
      <sharedItems containsSemiMixedTypes="0" containsString="0" containsNumber="1" containsInteger="1" minValue="200" maxValue="5000"/>
    </cacheField>
    <cacheField name="Bill_Attached " numFmtId="0">
      <sharedItems/>
    </cacheField>
    <cacheField name="Payment_Mode" numFmtId="0">
      <sharedItems/>
    </cacheField>
    <cacheField name="Policy_Limit" numFmtId="0">
      <sharedItems containsSemiMixedTypes="0" containsString="0" containsNumber="1" containsInteger="1" minValue="500" maxValue="5000"/>
    </cacheField>
    <cacheField name="Status" numFmtId="0">
      <sharedItems/>
    </cacheField>
    <cacheField name="Comments" numFmtId="0">
      <sharedItems/>
    </cacheField>
    <cacheField name="Policy_Violation" numFmtId="0">
      <sharedItems count="2">
        <s v="No"/>
        <s v="Yes"/>
      </sharedItems>
    </cacheField>
    <cacheField name="Missing_Bill_Flag" numFmtId="0">
      <sharedItems/>
    </cacheField>
    <cacheField name="Cash_Payment_Flag" numFmtId="0">
      <sharedItems count="2">
        <s v="No"/>
        <s v="Yes"/>
      </sharedItems>
    </cacheField>
    <cacheField name="Weekend_Expense_Flag" numFmtId="0">
      <sharedItems/>
    </cacheField>
    <cacheField name="Final_Status" numFmtId="0">
      <sharedItems count="2">
        <s v="Approved"/>
        <s v="Review Required"/>
      </sharedItems>
    </cacheField>
  </cacheFields>
  <extLst>
    <ext xmlns:x14="http://schemas.microsoft.com/office/spreadsheetml/2009/9/main" uri="{725AE2AE-9491-48be-B2B4-4EB974FC3084}">
      <x14:pivotCacheDefinition pivotCacheId="19654868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Pahuja" refreshedDate="46019.084211805559" createdVersion="8" refreshedVersion="8" minRefreshableVersion="3" recordCount="30" xr:uid="{EF06C624-62C2-45B9-BBA7-C371EAA1F5F9}">
  <cacheSource type="worksheet">
    <worksheetSource name="Table2"/>
  </cacheSource>
  <cacheFields count="17">
    <cacheField name="Employee_ID" numFmtId="0">
      <sharedItems/>
    </cacheField>
    <cacheField name="Employee_Name" numFmtId="0">
      <sharedItems count="10">
        <s v="Rahul Sharma"/>
        <s v="Neha Gupta"/>
        <s v="Arjun Verma"/>
        <s v="Sonal Mehta"/>
        <s v="Aman Singh"/>
        <s v="Riya Malhotra"/>
        <s v="Karan Patel"/>
        <s v="Pooja Nair"/>
        <s v="Rohan Iyer"/>
        <s v="Nisha Jain"/>
      </sharedItems>
    </cacheField>
    <cacheField name="Department" numFmtId="0">
      <sharedItems count="5">
        <s v="Sales"/>
        <s v="Marketing"/>
        <s v="Finance"/>
        <s v="HR"/>
        <s v="Operations"/>
      </sharedItems>
    </cacheField>
    <cacheField name="Expense_Date" numFmtId="14">
      <sharedItems containsSemiMixedTypes="0" containsNonDate="0" containsDate="1" containsString="0" minDate="2025-01-02T00:00:00" maxDate="2025-02-01T00:00:00" count="27">
        <d v="2025-01-02T00:00:00"/>
        <d v="2025-01-03T00:00:00"/>
        <d v="2025-01-05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Expense_Category" numFmtId="0">
      <sharedItems count="5">
        <s v="Travel"/>
        <s v="Meals"/>
        <s v="Stationery"/>
        <s v="Client Meeting"/>
        <s v="Software"/>
      </sharedItems>
    </cacheField>
    <cacheField name="Merchant" numFmtId="0">
      <sharedItems/>
    </cacheField>
    <cacheField name="Amount" numFmtId="0">
      <sharedItems containsSemiMixedTypes="0" containsString="0" containsNumber="1" containsInteger="1" minValue="200" maxValue="5000"/>
    </cacheField>
    <cacheField name="Bill_Attached " numFmtId="0">
      <sharedItems/>
    </cacheField>
    <cacheField name="Payment_Mode" numFmtId="0">
      <sharedItems/>
    </cacheField>
    <cacheField name="Policy_Limit" numFmtId="0">
      <sharedItems containsSemiMixedTypes="0" containsString="0" containsNumber="1" containsInteger="1" minValue="500" maxValue="5000"/>
    </cacheField>
    <cacheField name="Status" numFmtId="0">
      <sharedItems/>
    </cacheField>
    <cacheField name="Comments" numFmtId="0">
      <sharedItems/>
    </cacheField>
    <cacheField name="Policy_Violation" numFmtId="0">
      <sharedItems/>
    </cacheField>
    <cacheField name="Missing_Bill_Flag" numFmtId="0">
      <sharedItems/>
    </cacheField>
    <cacheField name="Cash_Payment_Flag" numFmtId="0">
      <sharedItems/>
    </cacheField>
    <cacheField name="Weekend_Expense_Flag" numFmtId="0">
      <sharedItems/>
    </cacheField>
    <cacheField name="Final_Status" numFmtId="0">
      <sharedItems/>
    </cacheField>
  </cacheFields>
  <extLst>
    <ext xmlns:x14="http://schemas.microsoft.com/office/spreadsheetml/2009/9/main" uri="{725AE2AE-9491-48be-B2B4-4EB974FC3084}">
      <x14:pivotCacheDefinition pivotCacheId="837589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001"/>
    <x v="0"/>
    <x v="0"/>
    <d v="2025-01-02T00:00:00"/>
    <x v="0"/>
    <s v="Uber"/>
    <n v="350"/>
    <s v="Yes"/>
    <s v="Card"/>
    <n v="500"/>
    <s v="Pending"/>
    <s v="-"/>
    <x v="0"/>
    <s v="No"/>
    <x v="0"/>
    <s v="No"/>
    <x v="0"/>
  </r>
  <r>
    <s v="E002"/>
    <x v="1"/>
    <x v="1"/>
    <d v="2025-01-03T00:00:00"/>
    <x v="1"/>
    <s v="Starbucks"/>
    <n v="750"/>
    <s v="No"/>
    <s v="Cash"/>
    <n v="500"/>
    <s v="Pending"/>
    <s v="-"/>
    <x v="1"/>
    <s v="Yes"/>
    <x v="1"/>
    <s v="No"/>
    <x v="1"/>
  </r>
  <r>
    <s v="E003"/>
    <x v="2"/>
    <x v="2"/>
    <d v="2025-01-05T00:00:00"/>
    <x v="2"/>
    <s v="Amazon"/>
    <n v="1200"/>
    <s v="Yes"/>
    <s v="Card"/>
    <n v="1000"/>
    <s v="Pending"/>
    <s v="-"/>
    <x v="1"/>
    <s v="No"/>
    <x v="0"/>
    <s v="Yes"/>
    <x v="1"/>
  </r>
  <r>
    <s v="E001"/>
    <x v="0"/>
    <x v="0"/>
    <d v="2025-01-05T00:00:00"/>
    <x v="1"/>
    <s v="KFC"/>
    <n v="600"/>
    <s v="Yes"/>
    <s v="Card"/>
    <n v="500"/>
    <s v="Pending"/>
    <s v="-"/>
    <x v="1"/>
    <s v="No"/>
    <x v="0"/>
    <s v="Yes"/>
    <x v="1"/>
  </r>
  <r>
    <s v="E004"/>
    <x v="3"/>
    <x v="3"/>
    <d v="2025-01-08T00:00:00"/>
    <x v="0"/>
    <s v="Uber"/>
    <n v="900"/>
    <s v="No"/>
    <s v="Cash"/>
    <n v="500"/>
    <s v="Pending"/>
    <s v="-"/>
    <x v="1"/>
    <s v="Yes"/>
    <x v="1"/>
    <s v="No"/>
    <x v="1"/>
  </r>
  <r>
    <s v="E005"/>
    <x v="4"/>
    <x v="4"/>
    <d v="2025-01-09T00:00:00"/>
    <x v="0"/>
    <s v="Ola"/>
    <n v="450"/>
    <s v="Yes"/>
    <s v="Card"/>
    <n v="500"/>
    <s v="Pending"/>
    <s v="-"/>
    <x v="0"/>
    <s v="No"/>
    <x v="0"/>
    <s v="No"/>
    <x v="0"/>
  </r>
  <r>
    <s v="E002"/>
    <x v="1"/>
    <x v="1"/>
    <d v="2025-01-10T00:00:00"/>
    <x v="1"/>
    <s v="Subway"/>
    <n v="400"/>
    <s v="Yes"/>
    <s v="Card"/>
    <n v="500"/>
    <s v="Pending"/>
    <s v="-"/>
    <x v="0"/>
    <s v="No"/>
    <x v="0"/>
    <s v="No"/>
    <x v="0"/>
  </r>
  <r>
    <s v="E006"/>
    <x v="5"/>
    <x v="0"/>
    <d v="2025-01-11T00:00:00"/>
    <x v="3"/>
    <s v="Taj Hotel"/>
    <n v="3200"/>
    <s v="Yes"/>
    <s v="Card"/>
    <n v="3000"/>
    <s v="Pending"/>
    <s v="-"/>
    <x v="1"/>
    <s v="No"/>
    <x v="0"/>
    <s v="Yes"/>
    <x v="1"/>
  </r>
  <r>
    <s v="E007"/>
    <x v="6"/>
    <x v="2"/>
    <d v="2025-01-12T00:00:00"/>
    <x v="4"/>
    <s v="Microsoft"/>
    <n v="4500"/>
    <s v="Yes"/>
    <s v="Card"/>
    <n v="5000"/>
    <s v="Pending"/>
    <s v="-"/>
    <x v="0"/>
    <s v="No"/>
    <x v="0"/>
    <s v="Yes"/>
    <x v="1"/>
  </r>
  <r>
    <s v="E003"/>
    <x v="2"/>
    <x v="2"/>
    <d v="2025-01-13T00:00:00"/>
    <x v="1"/>
    <s v="McDonalds"/>
    <n v="550"/>
    <s v="No"/>
    <s v="Cash"/>
    <n v="500"/>
    <s v="Pending"/>
    <s v="-"/>
    <x v="1"/>
    <s v="Yes"/>
    <x v="1"/>
    <s v="No"/>
    <x v="1"/>
  </r>
  <r>
    <s v="E008"/>
    <x v="7"/>
    <x v="3"/>
    <d v="2025-01-14T00:00:00"/>
    <x v="0"/>
    <s v="Uber"/>
    <n v="200"/>
    <s v="Yes"/>
    <s v="Card"/>
    <n v="500"/>
    <s v="Pending"/>
    <s v="-"/>
    <x v="0"/>
    <s v="No"/>
    <x v="0"/>
    <s v="No"/>
    <x v="0"/>
  </r>
  <r>
    <s v="E009"/>
    <x v="8"/>
    <x v="0"/>
    <d v="2025-01-15T00:00:00"/>
    <x v="3"/>
    <s v="BBQ Nation"/>
    <n v="2800"/>
    <s v="Yes"/>
    <s v="Card"/>
    <n v="2500"/>
    <s v="Pending"/>
    <s v="-"/>
    <x v="1"/>
    <s v="No"/>
    <x v="0"/>
    <s v="No"/>
    <x v="1"/>
  </r>
  <r>
    <s v="E010"/>
    <x v="9"/>
    <x v="4"/>
    <d v="2025-01-16T00:00:00"/>
    <x v="2"/>
    <s v="Flipkart"/>
    <n v="850"/>
    <s v="Yes"/>
    <s v="Card"/>
    <n v="1000"/>
    <s v="Pending"/>
    <s v="-"/>
    <x v="0"/>
    <s v="No"/>
    <x v="0"/>
    <s v="No"/>
    <x v="0"/>
  </r>
  <r>
    <s v="E006"/>
    <x v="5"/>
    <x v="0"/>
    <d v="2025-01-17T00:00:00"/>
    <x v="0"/>
    <s v="Ola"/>
    <n v="650"/>
    <s v="No"/>
    <s v="Cash"/>
    <n v="500"/>
    <s v="Pending"/>
    <s v="-"/>
    <x v="1"/>
    <s v="Yes"/>
    <x v="1"/>
    <s v="No"/>
    <x v="1"/>
  </r>
  <r>
    <s v="E004"/>
    <x v="3"/>
    <x v="3"/>
    <d v="2025-01-18T00:00:00"/>
    <x v="1"/>
    <s v="Café Coffee Day"/>
    <n v="300"/>
    <s v="Yes"/>
    <s v="Card"/>
    <n v="500"/>
    <s v="Pending"/>
    <s v="-"/>
    <x v="0"/>
    <s v="No"/>
    <x v="0"/>
    <s v="Yes"/>
    <x v="1"/>
  </r>
  <r>
    <s v="E005"/>
    <x v="4"/>
    <x v="4"/>
    <d v="2025-01-19T00:00:00"/>
    <x v="0"/>
    <s v="Uber"/>
    <n v="1100"/>
    <s v="Yes"/>
    <s v="Card"/>
    <n v="500"/>
    <s v="Pending"/>
    <s v="-"/>
    <x v="1"/>
    <s v="No"/>
    <x v="0"/>
    <s v="Yes"/>
    <x v="1"/>
  </r>
  <r>
    <s v="E007"/>
    <x v="6"/>
    <x v="2"/>
    <d v="2025-01-20T00:00:00"/>
    <x v="1"/>
    <s v="Dominos"/>
    <n v="450"/>
    <s v="Yes"/>
    <s v="Card"/>
    <n v="500"/>
    <s v="Pending"/>
    <s v="-"/>
    <x v="0"/>
    <s v="No"/>
    <x v="0"/>
    <s v="No"/>
    <x v="0"/>
  </r>
  <r>
    <s v="E008"/>
    <x v="7"/>
    <x v="3"/>
    <d v="2025-01-21T00:00:00"/>
    <x v="0"/>
    <s v="Ola"/>
    <n v="520"/>
    <s v="Yes"/>
    <s v="Card"/>
    <n v="500"/>
    <s v="Pending"/>
    <s v="-"/>
    <x v="1"/>
    <s v="No"/>
    <x v="0"/>
    <s v="No"/>
    <x v="1"/>
  </r>
  <r>
    <s v="E009"/>
    <x v="8"/>
    <x v="0"/>
    <d v="2025-01-22T00:00:00"/>
    <x v="3"/>
    <s v="ITC Hotel"/>
    <n v="5000"/>
    <s v="Yes"/>
    <s v="Card"/>
    <n v="3000"/>
    <s v="Pending"/>
    <s v="-"/>
    <x v="1"/>
    <s v="No"/>
    <x v="0"/>
    <s v="No"/>
    <x v="1"/>
  </r>
  <r>
    <s v="E010"/>
    <x v="9"/>
    <x v="4"/>
    <d v="2025-01-23T00:00:00"/>
    <x v="1"/>
    <s v="Zomato"/>
    <n v="650"/>
    <s v="No"/>
    <s v="Cash"/>
    <n v="500"/>
    <s v="Pending"/>
    <s v="-"/>
    <x v="1"/>
    <s v="Yes"/>
    <x v="1"/>
    <s v="No"/>
    <x v="1"/>
  </r>
  <r>
    <s v="E001"/>
    <x v="0"/>
    <x v="0"/>
    <d v="2025-01-24T00:00:00"/>
    <x v="0"/>
    <s v="Uber"/>
    <n v="480"/>
    <s v="Yes"/>
    <s v="Card"/>
    <n v="500"/>
    <s v="Pending"/>
    <s v="-"/>
    <x v="0"/>
    <s v="No"/>
    <x v="0"/>
    <s v="No"/>
    <x v="0"/>
  </r>
  <r>
    <s v="E002"/>
    <x v="1"/>
    <x v="1"/>
    <d v="2025-01-25T00:00:00"/>
    <x v="3"/>
    <s v="Leela Palace"/>
    <n v="4200"/>
    <s v="Yes"/>
    <s v="Card"/>
    <n v="3000"/>
    <s v="Pending"/>
    <s v="-"/>
    <x v="1"/>
    <s v="No"/>
    <x v="0"/>
    <s v="Yes"/>
    <x v="1"/>
  </r>
  <r>
    <s v="E003"/>
    <x v="2"/>
    <x v="2"/>
    <d v="2025-01-26T00:00:00"/>
    <x v="0"/>
    <s v="Ola"/>
    <n v="300"/>
    <s v="Yes"/>
    <s v="Card"/>
    <n v="500"/>
    <s v="Pending"/>
    <s v="-"/>
    <x v="0"/>
    <s v="No"/>
    <x v="0"/>
    <s v="Yes"/>
    <x v="1"/>
  </r>
  <r>
    <s v="E004"/>
    <x v="3"/>
    <x v="3"/>
    <d v="2025-01-27T00:00:00"/>
    <x v="1"/>
    <s v="Swiggy"/>
    <n v="550"/>
    <s v="No"/>
    <s v="Cash"/>
    <n v="500"/>
    <s v="Pending"/>
    <s v="-"/>
    <x v="1"/>
    <s v="Yes"/>
    <x v="1"/>
    <s v="No"/>
    <x v="1"/>
  </r>
  <r>
    <s v="E005"/>
    <x v="4"/>
    <x v="4"/>
    <d v="2025-01-28T00:00:00"/>
    <x v="2"/>
    <s v="Amazon"/>
    <n v="1300"/>
    <s v="Yes"/>
    <s v="Card"/>
    <n v="1000"/>
    <s v="Pending"/>
    <s v="-"/>
    <x v="1"/>
    <s v="No"/>
    <x v="0"/>
    <s v="No"/>
    <x v="1"/>
  </r>
  <r>
    <s v="E006"/>
    <x v="5"/>
    <x v="0"/>
    <d v="2025-01-29T00:00:00"/>
    <x v="0"/>
    <s v="Uber"/>
    <n v="700"/>
    <s v="Yes"/>
    <s v="Card"/>
    <n v="500"/>
    <s v="Pending"/>
    <s v="-"/>
    <x v="1"/>
    <s v="No"/>
    <x v="0"/>
    <s v="No"/>
    <x v="1"/>
  </r>
  <r>
    <s v="E007"/>
    <x v="6"/>
    <x v="2"/>
    <d v="2025-01-30T00:00:00"/>
    <x v="1"/>
    <s v="Starbucks"/>
    <n v="600"/>
    <s v="Yes"/>
    <s v="Card"/>
    <n v="500"/>
    <s v="Pending"/>
    <s v="-"/>
    <x v="1"/>
    <s v="No"/>
    <x v="0"/>
    <s v="No"/>
    <x v="1"/>
  </r>
  <r>
    <s v="E008"/>
    <x v="7"/>
    <x v="3"/>
    <d v="2025-01-31T00:00:00"/>
    <x v="0"/>
    <s v="Uber"/>
    <n v="450"/>
    <s v="Yes"/>
    <s v="Card"/>
    <n v="500"/>
    <s v="Pending"/>
    <s v="-"/>
    <x v="0"/>
    <s v="No"/>
    <x v="0"/>
    <s v="No"/>
    <x v="0"/>
  </r>
  <r>
    <s v="E009"/>
    <x v="8"/>
    <x v="0"/>
    <d v="2025-01-31T00:00:00"/>
    <x v="1"/>
    <s v="KFC"/>
    <n v="520"/>
    <s v="Yes"/>
    <s v="Card"/>
    <n v="500"/>
    <s v="Pending"/>
    <s v="-"/>
    <x v="1"/>
    <s v="No"/>
    <x v="0"/>
    <s v="No"/>
    <x v="1"/>
  </r>
  <r>
    <s v="E010"/>
    <x v="9"/>
    <x v="4"/>
    <d v="2025-01-31T00:00:00"/>
    <x v="0"/>
    <s v="Ola"/>
    <n v="480"/>
    <s v="Yes"/>
    <s v="Card"/>
    <n v="500"/>
    <s v="Pending"/>
    <s v="-"/>
    <x v="0"/>
    <s v="No"/>
    <x v="0"/>
    <s v="No"/>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001"/>
    <x v="0"/>
    <x v="0"/>
    <x v="0"/>
    <x v="0"/>
    <s v="Uber"/>
    <n v="350"/>
    <s v="Yes"/>
    <s v="Card"/>
    <n v="500"/>
    <s v="Pending"/>
    <s v="-"/>
    <s v="No"/>
    <s v="No"/>
    <s v="No"/>
    <s v="No"/>
    <s v="Approved"/>
  </r>
  <r>
    <s v="E002"/>
    <x v="1"/>
    <x v="1"/>
    <x v="1"/>
    <x v="1"/>
    <s v="Starbucks"/>
    <n v="750"/>
    <s v="No"/>
    <s v="Cash"/>
    <n v="500"/>
    <s v="Pending"/>
    <s v="-"/>
    <s v="Yes"/>
    <s v="Yes"/>
    <s v="Yes"/>
    <s v="No"/>
    <s v="Review Required"/>
  </r>
  <r>
    <s v="E003"/>
    <x v="2"/>
    <x v="2"/>
    <x v="2"/>
    <x v="2"/>
    <s v="Amazon"/>
    <n v="1200"/>
    <s v="Yes"/>
    <s v="Card"/>
    <n v="1000"/>
    <s v="Pending"/>
    <s v="-"/>
    <s v="Yes"/>
    <s v="No"/>
    <s v="No"/>
    <s v="Yes"/>
    <s v="Review Required"/>
  </r>
  <r>
    <s v="E001"/>
    <x v="0"/>
    <x v="0"/>
    <x v="2"/>
    <x v="1"/>
    <s v="KFC"/>
    <n v="600"/>
    <s v="Yes"/>
    <s v="Card"/>
    <n v="500"/>
    <s v="Pending"/>
    <s v="-"/>
    <s v="Yes"/>
    <s v="No"/>
    <s v="No"/>
    <s v="Yes"/>
    <s v="Review Required"/>
  </r>
  <r>
    <s v="E004"/>
    <x v="3"/>
    <x v="3"/>
    <x v="3"/>
    <x v="0"/>
    <s v="Uber"/>
    <n v="900"/>
    <s v="No"/>
    <s v="Cash"/>
    <n v="500"/>
    <s v="Pending"/>
    <s v="-"/>
    <s v="Yes"/>
    <s v="Yes"/>
    <s v="Yes"/>
    <s v="No"/>
    <s v="Review Required"/>
  </r>
  <r>
    <s v="E005"/>
    <x v="4"/>
    <x v="4"/>
    <x v="4"/>
    <x v="0"/>
    <s v="Ola"/>
    <n v="450"/>
    <s v="Yes"/>
    <s v="Card"/>
    <n v="500"/>
    <s v="Pending"/>
    <s v="-"/>
    <s v="No"/>
    <s v="No"/>
    <s v="No"/>
    <s v="No"/>
    <s v="Approved"/>
  </r>
  <r>
    <s v="E002"/>
    <x v="1"/>
    <x v="1"/>
    <x v="5"/>
    <x v="1"/>
    <s v="Subway"/>
    <n v="400"/>
    <s v="Yes"/>
    <s v="Card"/>
    <n v="500"/>
    <s v="Pending"/>
    <s v="-"/>
    <s v="No"/>
    <s v="No"/>
    <s v="No"/>
    <s v="No"/>
    <s v="Approved"/>
  </r>
  <r>
    <s v="E006"/>
    <x v="5"/>
    <x v="0"/>
    <x v="6"/>
    <x v="3"/>
    <s v="Taj Hotel"/>
    <n v="3200"/>
    <s v="Yes"/>
    <s v="Card"/>
    <n v="3000"/>
    <s v="Pending"/>
    <s v="-"/>
    <s v="Yes"/>
    <s v="No"/>
    <s v="No"/>
    <s v="Yes"/>
    <s v="Review Required"/>
  </r>
  <r>
    <s v="E007"/>
    <x v="6"/>
    <x v="2"/>
    <x v="7"/>
    <x v="4"/>
    <s v="Microsoft"/>
    <n v="4500"/>
    <s v="Yes"/>
    <s v="Card"/>
    <n v="5000"/>
    <s v="Pending"/>
    <s v="-"/>
    <s v="No"/>
    <s v="No"/>
    <s v="No"/>
    <s v="Yes"/>
    <s v="Review Required"/>
  </r>
  <r>
    <s v="E003"/>
    <x v="2"/>
    <x v="2"/>
    <x v="8"/>
    <x v="1"/>
    <s v="McDonalds"/>
    <n v="550"/>
    <s v="No"/>
    <s v="Cash"/>
    <n v="500"/>
    <s v="Pending"/>
    <s v="-"/>
    <s v="Yes"/>
    <s v="Yes"/>
    <s v="Yes"/>
    <s v="No"/>
    <s v="Review Required"/>
  </r>
  <r>
    <s v="E008"/>
    <x v="7"/>
    <x v="3"/>
    <x v="9"/>
    <x v="0"/>
    <s v="Uber"/>
    <n v="200"/>
    <s v="Yes"/>
    <s v="Card"/>
    <n v="500"/>
    <s v="Pending"/>
    <s v="-"/>
    <s v="No"/>
    <s v="No"/>
    <s v="No"/>
    <s v="No"/>
    <s v="Approved"/>
  </r>
  <r>
    <s v="E009"/>
    <x v="8"/>
    <x v="0"/>
    <x v="10"/>
    <x v="3"/>
    <s v="BBQ Nation"/>
    <n v="2800"/>
    <s v="Yes"/>
    <s v="Card"/>
    <n v="2500"/>
    <s v="Pending"/>
    <s v="-"/>
    <s v="Yes"/>
    <s v="No"/>
    <s v="No"/>
    <s v="No"/>
    <s v="Review Required"/>
  </r>
  <r>
    <s v="E010"/>
    <x v="9"/>
    <x v="4"/>
    <x v="11"/>
    <x v="2"/>
    <s v="Flipkart"/>
    <n v="850"/>
    <s v="Yes"/>
    <s v="Card"/>
    <n v="1000"/>
    <s v="Pending"/>
    <s v="-"/>
    <s v="No"/>
    <s v="No"/>
    <s v="No"/>
    <s v="No"/>
    <s v="Approved"/>
  </r>
  <r>
    <s v="E006"/>
    <x v="5"/>
    <x v="0"/>
    <x v="12"/>
    <x v="0"/>
    <s v="Ola"/>
    <n v="650"/>
    <s v="No"/>
    <s v="Cash"/>
    <n v="500"/>
    <s v="Pending"/>
    <s v="-"/>
    <s v="Yes"/>
    <s v="Yes"/>
    <s v="Yes"/>
    <s v="No"/>
    <s v="Review Required"/>
  </r>
  <r>
    <s v="E004"/>
    <x v="3"/>
    <x v="3"/>
    <x v="13"/>
    <x v="1"/>
    <s v="Café Coffee Day"/>
    <n v="300"/>
    <s v="Yes"/>
    <s v="Card"/>
    <n v="500"/>
    <s v="Pending"/>
    <s v="-"/>
    <s v="No"/>
    <s v="No"/>
    <s v="No"/>
    <s v="Yes"/>
    <s v="Review Required"/>
  </r>
  <r>
    <s v="E005"/>
    <x v="4"/>
    <x v="4"/>
    <x v="14"/>
    <x v="0"/>
    <s v="Uber"/>
    <n v="1100"/>
    <s v="Yes"/>
    <s v="Card"/>
    <n v="500"/>
    <s v="Pending"/>
    <s v="-"/>
    <s v="Yes"/>
    <s v="No"/>
    <s v="No"/>
    <s v="Yes"/>
    <s v="Review Required"/>
  </r>
  <r>
    <s v="E007"/>
    <x v="6"/>
    <x v="2"/>
    <x v="15"/>
    <x v="1"/>
    <s v="Dominos"/>
    <n v="450"/>
    <s v="Yes"/>
    <s v="Card"/>
    <n v="500"/>
    <s v="Pending"/>
    <s v="-"/>
    <s v="No"/>
    <s v="No"/>
    <s v="No"/>
    <s v="No"/>
    <s v="Approved"/>
  </r>
  <r>
    <s v="E008"/>
    <x v="7"/>
    <x v="3"/>
    <x v="16"/>
    <x v="0"/>
    <s v="Ola"/>
    <n v="520"/>
    <s v="Yes"/>
    <s v="Card"/>
    <n v="500"/>
    <s v="Pending"/>
    <s v="-"/>
    <s v="Yes"/>
    <s v="No"/>
    <s v="No"/>
    <s v="No"/>
    <s v="Review Required"/>
  </r>
  <r>
    <s v="E009"/>
    <x v="8"/>
    <x v="0"/>
    <x v="17"/>
    <x v="3"/>
    <s v="ITC Hotel"/>
    <n v="5000"/>
    <s v="Yes"/>
    <s v="Card"/>
    <n v="3000"/>
    <s v="Pending"/>
    <s v="-"/>
    <s v="Yes"/>
    <s v="No"/>
    <s v="No"/>
    <s v="No"/>
    <s v="Review Required"/>
  </r>
  <r>
    <s v="E010"/>
    <x v="9"/>
    <x v="4"/>
    <x v="18"/>
    <x v="1"/>
    <s v="Zomato"/>
    <n v="650"/>
    <s v="No"/>
    <s v="Cash"/>
    <n v="500"/>
    <s v="Pending"/>
    <s v="-"/>
    <s v="Yes"/>
    <s v="Yes"/>
    <s v="Yes"/>
    <s v="No"/>
    <s v="Review Required"/>
  </r>
  <r>
    <s v="E001"/>
    <x v="0"/>
    <x v="0"/>
    <x v="19"/>
    <x v="0"/>
    <s v="Uber"/>
    <n v="480"/>
    <s v="Yes"/>
    <s v="Card"/>
    <n v="500"/>
    <s v="Pending"/>
    <s v="-"/>
    <s v="No"/>
    <s v="No"/>
    <s v="No"/>
    <s v="No"/>
    <s v="Approved"/>
  </r>
  <r>
    <s v="E002"/>
    <x v="1"/>
    <x v="1"/>
    <x v="20"/>
    <x v="3"/>
    <s v="Leela Palace"/>
    <n v="4200"/>
    <s v="Yes"/>
    <s v="Card"/>
    <n v="3000"/>
    <s v="Pending"/>
    <s v="-"/>
    <s v="Yes"/>
    <s v="No"/>
    <s v="No"/>
    <s v="Yes"/>
    <s v="Review Required"/>
  </r>
  <r>
    <s v="E003"/>
    <x v="2"/>
    <x v="2"/>
    <x v="21"/>
    <x v="0"/>
    <s v="Ola"/>
    <n v="300"/>
    <s v="Yes"/>
    <s v="Card"/>
    <n v="500"/>
    <s v="Pending"/>
    <s v="-"/>
    <s v="No"/>
    <s v="No"/>
    <s v="No"/>
    <s v="Yes"/>
    <s v="Review Required"/>
  </r>
  <r>
    <s v="E004"/>
    <x v="3"/>
    <x v="3"/>
    <x v="22"/>
    <x v="1"/>
    <s v="Swiggy"/>
    <n v="550"/>
    <s v="No"/>
    <s v="Cash"/>
    <n v="500"/>
    <s v="Pending"/>
    <s v="-"/>
    <s v="Yes"/>
    <s v="Yes"/>
    <s v="Yes"/>
    <s v="No"/>
    <s v="Review Required"/>
  </r>
  <r>
    <s v="E005"/>
    <x v="4"/>
    <x v="4"/>
    <x v="23"/>
    <x v="2"/>
    <s v="Amazon"/>
    <n v="1300"/>
    <s v="Yes"/>
    <s v="Card"/>
    <n v="1000"/>
    <s v="Pending"/>
    <s v="-"/>
    <s v="Yes"/>
    <s v="No"/>
    <s v="No"/>
    <s v="No"/>
    <s v="Review Required"/>
  </r>
  <r>
    <s v="E006"/>
    <x v="5"/>
    <x v="0"/>
    <x v="24"/>
    <x v="0"/>
    <s v="Uber"/>
    <n v="700"/>
    <s v="Yes"/>
    <s v="Card"/>
    <n v="500"/>
    <s v="Pending"/>
    <s v="-"/>
    <s v="Yes"/>
    <s v="No"/>
    <s v="No"/>
    <s v="No"/>
    <s v="Review Required"/>
  </r>
  <r>
    <s v="E007"/>
    <x v="6"/>
    <x v="2"/>
    <x v="25"/>
    <x v="1"/>
    <s v="Starbucks"/>
    <n v="600"/>
    <s v="Yes"/>
    <s v="Card"/>
    <n v="500"/>
    <s v="Pending"/>
    <s v="-"/>
    <s v="Yes"/>
    <s v="No"/>
    <s v="No"/>
    <s v="No"/>
    <s v="Review Required"/>
  </r>
  <r>
    <s v="E008"/>
    <x v="7"/>
    <x v="3"/>
    <x v="26"/>
    <x v="0"/>
    <s v="Uber"/>
    <n v="450"/>
    <s v="Yes"/>
    <s v="Card"/>
    <n v="500"/>
    <s v="Pending"/>
    <s v="-"/>
    <s v="No"/>
    <s v="No"/>
    <s v="No"/>
    <s v="No"/>
    <s v="Approved"/>
  </r>
  <r>
    <s v="E009"/>
    <x v="8"/>
    <x v="0"/>
    <x v="26"/>
    <x v="1"/>
    <s v="KFC"/>
    <n v="520"/>
    <s v="Yes"/>
    <s v="Card"/>
    <n v="500"/>
    <s v="Pending"/>
    <s v="-"/>
    <s v="Yes"/>
    <s v="No"/>
    <s v="No"/>
    <s v="No"/>
    <s v="Review Required"/>
  </r>
  <r>
    <s v="E010"/>
    <x v="9"/>
    <x v="4"/>
    <x v="26"/>
    <x v="0"/>
    <s v="Ola"/>
    <n v="480"/>
    <s v="Yes"/>
    <s v="Card"/>
    <n v="500"/>
    <s v="Pending"/>
    <s v="-"/>
    <s v="No"/>
    <s v="No"/>
    <s v="No"/>
    <s v="No"/>
    <s v="Approv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8258D-695B-4E95-A871-6C5C3532A5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7">
    <pivotField dataField="1" showAll="0"/>
    <pivotField showAll="0">
      <items count="11">
        <item x="4"/>
        <item x="2"/>
        <item x="6"/>
        <item x="1"/>
        <item x="9"/>
        <item x="7"/>
        <item x="0"/>
        <item x="5"/>
        <item x="8"/>
        <item x="3"/>
        <item t="default"/>
      </items>
    </pivotField>
    <pivotField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
  </rowFields>
  <rowItems count="3">
    <i>
      <x/>
    </i>
    <i>
      <x v="1"/>
    </i>
    <i t="grand">
      <x/>
    </i>
  </rowItems>
  <colItems count="1">
    <i/>
  </colItems>
  <dataFields count="1">
    <dataField name="Number of Expenses" fld="0" subtotal="count" baseField="16"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5F821-B0B8-476B-B653-56D05D203E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7">
    <pivotField showAll="0"/>
    <pivotField axis="axisRow" showAll="0" sortType="descending">
      <items count="11">
        <item x="4"/>
        <item x="2"/>
        <item x="6"/>
        <item x="1"/>
        <item x="9"/>
        <item x="7"/>
        <item x="0"/>
        <item x="5"/>
        <item x="8"/>
        <item x="3"/>
        <item t="default"/>
      </items>
      <autoSortScope>
        <pivotArea dataOnly="0" outline="0" fieldPosition="0">
          <references count="1">
            <reference field="4294967294" count="1" selected="0">
              <x v="0"/>
            </reference>
          </references>
        </pivotArea>
      </autoSortScope>
    </pivotField>
    <pivotField showAll="0">
      <items count="6">
        <item x="2"/>
        <item x="3"/>
        <item x="1"/>
        <item x="4"/>
        <item x="0"/>
        <item t="default"/>
      </items>
    </pivotField>
    <pivotField numFmtId="14" showAll="0"/>
    <pivotField showAll="0">
      <items count="6">
        <item x="3"/>
        <item x="1"/>
        <item x="4"/>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
    </i>
    <i>
      <x v="2"/>
    </i>
    <i>
      <x v="3"/>
    </i>
    <i>
      <x v="7"/>
    </i>
    <i>
      <x/>
    </i>
    <i>
      <x v="1"/>
    </i>
    <i>
      <x v="4"/>
    </i>
    <i>
      <x v="9"/>
    </i>
    <i>
      <x v="6"/>
    </i>
    <i>
      <x v="5"/>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AB79D-EC4E-4719-AB35-6A72333D67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8" firstHeaderRow="1" firstDataRow="1" firstDataCol="1" rowPageCount="1" colPageCount="1"/>
  <pivotFields count="17">
    <pivotField showAll="0"/>
    <pivotField showAll="0">
      <items count="11">
        <item x="4"/>
        <item x="2"/>
        <item x="6"/>
        <item x="1"/>
        <item x="9"/>
        <item x="7"/>
        <item x="0"/>
        <item x="5"/>
        <item x="8"/>
        <item x="3"/>
        <item t="default"/>
      </items>
    </pivotField>
    <pivotField axis="axisRow"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s>
  <rowFields count="1">
    <field x="2"/>
  </rowFields>
  <rowItems count="6">
    <i>
      <x/>
    </i>
    <i>
      <x v="1"/>
    </i>
    <i>
      <x v="2"/>
    </i>
    <i>
      <x v="3"/>
    </i>
    <i>
      <x v="4"/>
    </i>
    <i t="grand">
      <x/>
    </i>
  </rowItems>
  <colItems count="1">
    <i/>
  </colItems>
  <pageFields count="1">
    <pageField fld="14" item="1" hier="-1"/>
  </pageFields>
  <dataFields count="1">
    <dataField name="Count of Cash_Payment_Flag" fld="14" subtotal="count" baseField="0" baseItem="0"/>
  </dataFields>
  <formats count="1">
    <format dxfId="580">
      <pivotArea field="14"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54E12-C2ED-4845-B0DC-3C4451E3D4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rowPageCount="1" colPageCount="1"/>
  <pivotFields count="17">
    <pivotField showAll="0"/>
    <pivotField showAll="0">
      <items count="11">
        <item x="4"/>
        <item x="2"/>
        <item x="6"/>
        <item x="1"/>
        <item x="9"/>
        <item x="7"/>
        <item x="0"/>
        <item x="5"/>
        <item x="8"/>
        <item x="3"/>
        <item t="default"/>
      </items>
    </pivotField>
    <pivotField axis="axisRow"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s>
  <rowFields count="1">
    <field x="2"/>
  </rowFields>
  <rowItems count="6">
    <i>
      <x/>
    </i>
    <i>
      <x v="1"/>
    </i>
    <i>
      <x v="2"/>
    </i>
    <i>
      <x v="3"/>
    </i>
    <i>
      <x v="4"/>
    </i>
    <i t="grand">
      <x/>
    </i>
  </rowItems>
  <colItems count="1">
    <i/>
  </colItems>
  <pageFields count="1">
    <pageField fld="12" item="1" hier="-1"/>
  </pageFields>
  <dataFields count="1">
    <dataField name="Count of Policy_Violation" fld="12" subtotal="count" baseField="0" baseItem="0"/>
  </dataFields>
  <formats count="2">
    <format dxfId="582">
      <pivotArea field="12" type="button" dataOnly="0" labelOnly="1" outline="0" axis="axisPage" fieldPosition="0"/>
    </format>
    <format dxfId="581">
      <pivotArea dataOnly="0" labelOnly="1" outline="0" fieldPosition="0">
        <references count="1">
          <reference field="1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5837B-1D46-45B0-8B10-D9BAC5655AA1}"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F79:G107" firstHeaderRow="1" firstDataRow="1" firstDataCol="1"/>
  <pivotFields count="17">
    <pivotField showAll="0"/>
    <pivotField showAll="0"/>
    <pivotField showAll="0"/>
    <pivotField axis="axisRow"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Amount" fld="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85AA0-AC19-4393-8A38-48A653FE7139}"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B79:C85" firstHeaderRow="1" firstDataRow="1" firstDataCol="1"/>
  <pivotFields count="17">
    <pivotField showAll="0"/>
    <pivotField showAll="0"/>
    <pivotField showAll="0"/>
    <pivotField numFmtId="14" showAll="0"/>
    <pivotField axis="axisRow" showAll="0">
      <items count="6">
        <item x="3"/>
        <item x="1"/>
        <item x="4"/>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Amount"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2A0FE1-0F8C-4CA9-8B27-28A77914442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F65:G76" firstHeaderRow="1" firstDataRow="1" firstDataCol="1"/>
  <pivotFields count="17">
    <pivotField showAll="0"/>
    <pivotField axis="axisRow" showAll="0" sortType="descending">
      <items count="11">
        <item x="4"/>
        <item x="2"/>
        <item x="6"/>
        <item x="1"/>
        <item x="9"/>
        <item x="7"/>
        <item x="0"/>
        <item x="5"/>
        <item x="8"/>
        <item x="3"/>
        <item t="default"/>
      </items>
      <autoSortScope>
        <pivotArea dataOnly="0" outline="0" fieldPosition="0">
          <references count="1">
            <reference field="4294967294" count="1" selected="0">
              <x v="0"/>
            </reference>
          </references>
        </pivotArea>
      </autoSortScope>
    </pivotField>
    <pivotField showAll="0">
      <items count="6">
        <item x="2"/>
        <item x="3"/>
        <item x="1"/>
        <item x="4"/>
        <item x="0"/>
        <item t="default"/>
      </items>
    </pivotField>
    <pivotField numFmtId="14" showAll="0"/>
    <pivotField showAll="0">
      <items count="6">
        <item x="3"/>
        <item x="1"/>
        <item x="4"/>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
    </i>
    <i>
      <x v="2"/>
    </i>
    <i>
      <x v="3"/>
    </i>
    <i>
      <x v="7"/>
    </i>
    <i>
      <x/>
    </i>
    <i>
      <x v="1"/>
    </i>
    <i>
      <x v="4"/>
    </i>
    <i>
      <x v="9"/>
    </i>
    <i>
      <x v="6"/>
    </i>
    <i>
      <x v="5"/>
    </i>
    <i t="grand">
      <x/>
    </i>
  </rowItems>
  <colItems count="1">
    <i/>
  </colItems>
  <dataFields count="1">
    <dataField name="Sum of Amount" fld="6" baseField="0" baseItem="0"/>
  </dataFields>
  <conditionalFormats count="1">
    <conditionalFormat scope="field" type="all" priority="1">
      <pivotAreas count="1">
        <pivotArea outline="0" collapsedLevelsAreSubtotals="1" fieldPosition="0">
          <references count="2">
            <reference field="4294967294" count="1" selected="0">
              <x v="0"/>
            </reference>
            <reference field="1" count="0" selected="0"/>
          </references>
        </pivotArea>
      </pivotAreas>
    </conditionalFormat>
  </conditional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7B8FE-A676-4E9F-B5CC-69FEAF367B9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3">
  <location ref="B54:C57" firstHeaderRow="1" firstDataRow="1" firstDataCol="1"/>
  <pivotFields count="17">
    <pivotField dataField="1" showAll="0"/>
    <pivotField showAll="0">
      <items count="11">
        <item x="4"/>
        <item x="2"/>
        <item x="6"/>
        <item x="1"/>
        <item x="9"/>
        <item x="7"/>
        <item x="0"/>
        <item x="5"/>
        <item x="8"/>
        <item x="3"/>
        <item t="default"/>
      </items>
    </pivotField>
    <pivotField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
  </rowFields>
  <rowItems count="3">
    <i>
      <x/>
    </i>
    <i>
      <x v="1"/>
    </i>
    <i t="grand">
      <x/>
    </i>
  </rowItems>
  <colItems count="1">
    <i/>
  </colItems>
  <dataFields count="1">
    <dataField name="Number of Expenses" fld="0" subtotal="count" baseField="16" baseItem="0"/>
  </dataFields>
  <chartFormats count="8">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6" count="1" selected="0">
            <x v="0"/>
          </reference>
        </references>
      </pivotArea>
    </chartFormat>
    <chartFormat chart="9" format="2">
      <pivotArea type="data" outline="0" fieldPosition="0">
        <references count="2">
          <reference field="4294967294" count="1" selected="0">
            <x v="0"/>
          </reference>
          <reference field="16" count="1" selected="0">
            <x v="1"/>
          </reference>
        </references>
      </pivotArea>
    </chartFormat>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16" count="1" selected="0">
            <x v="0"/>
          </reference>
        </references>
      </pivotArea>
    </chartFormat>
    <chartFormat chart="22" format="5">
      <pivotArea type="data" outline="0" fieldPosition="0">
        <references count="2">
          <reference field="4294967294" count="1" selected="0">
            <x v="0"/>
          </reference>
          <reference field="16" count="1" selected="0">
            <x v="1"/>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46CF6D-2037-4B49-9C8B-3DBEE9A8329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F56:G62" firstHeaderRow="1" firstDataRow="1" firstDataCol="1" rowPageCount="1" colPageCount="1"/>
  <pivotFields count="17">
    <pivotField showAll="0"/>
    <pivotField showAll="0">
      <items count="11">
        <item x="4"/>
        <item x="2"/>
        <item x="6"/>
        <item x="1"/>
        <item x="9"/>
        <item x="7"/>
        <item x="0"/>
        <item x="5"/>
        <item x="8"/>
        <item x="3"/>
        <item t="default"/>
      </items>
    </pivotField>
    <pivotField axis="axisRow"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s>
  <rowFields count="1">
    <field x="2"/>
  </rowFields>
  <rowItems count="6">
    <i>
      <x/>
    </i>
    <i>
      <x v="1"/>
    </i>
    <i>
      <x v="2"/>
    </i>
    <i>
      <x v="3"/>
    </i>
    <i>
      <x v="4"/>
    </i>
    <i t="grand">
      <x/>
    </i>
  </rowItems>
  <colItems count="1">
    <i/>
  </colItems>
  <pageFields count="1">
    <pageField fld="12" item="1" hier="-1"/>
  </pageFields>
  <dataFields count="1">
    <dataField name="Count of Policy_Violation" fld="12" subtotal="count" baseField="0" baseItem="0"/>
  </dataFields>
  <formats count="2">
    <format dxfId="578">
      <pivotArea field="12" type="button" dataOnly="0" labelOnly="1" outline="0" axis="axisPage" fieldPosition="0"/>
    </format>
    <format dxfId="579">
      <pivotArea dataOnly="0" labelOnly="1" outline="0" fieldPosition="0">
        <references count="1">
          <reference field="12" count="1">
            <x v="1"/>
          </reference>
        </references>
      </pivotArea>
    </format>
  </formats>
  <conditionalFormats count="1">
    <conditionalFormat scope="field" priority="2">
      <pivotAreas count="1">
        <pivotArea outline="0" collapsedLevelsAreSubtotals="1" fieldPosition="0">
          <references count="2">
            <reference field="4294967294" count="1" selected="0">
              <x v="0"/>
            </reference>
            <reference field="2" count="0" selected="0"/>
          </references>
        </pivotArea>
      </pivotAreas>
    </conditionalFormat>
  </conditional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38B19-0C6F-4FBA-865C-A6AD94A21ED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67:C73" firstHeaderRow="1" firstDataRow="1" firstDataCol="1" rowPageCount="1" colPageCount="1"/>
  <pivotFields count="17">
    <pivotField showAll="0"/>
    <pivotField showAll="0">
      <items count="11">
        <item x="4"/>
        <item x="2"/>
        <item x="6"/>
        <item x="1"/>
        <item x="9"/>
        <item x="7"/>
        <item x="0"/>
        <item x="5"/>
        <item x="8"/>
        <item x="3"/>
        <item t="default"/>
      </items>
    </pivotField>
    <pivotField axis="axisRow" showAll="0">
      <items count="6">
        <item x="2"/>
        <item x="3"/>
        <item x="1"/>
        <item x="4"/>
        <item x="0"/>
        <item t="default"/>
      </items>
    </pivotField>
    <pivotField numFmtId="14" showAll="0"/>
    <pivotField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name="Cash_Payment" axis="axisPage" dataField="1" showAll="0">
      <items count="3">
        <item x="0"/>
        <item x="1"/>
        <item t="default"/>
      </items>
    </pivotField>
    <pivotField showAll="0"/>
    <pivotField showAll="0"/>
  </pivotFields>
  <rowFields count="1">
    <field x="2"/>
  </rowFields>
  <rowItems count="6">
    <i>
      <x/>
    </i>
    <i>
      <x v="1"/>
    </i>
    <i>
      <x v="2"/>
    </i>
    <i>
      <x v="3"/>
    </i>
    <i>
      <x v="4"/>
    </i>
    <i t="grand">
      <x/>
    </i>
  </rowItems>
  <colItems count="1">
    <i/>
  </colItems>
  <pageFields count="1">
    <pageField fld="14" item="1" hier="-1"/>
  </pageFields>
  <dataFields count="1">
    <dataField name="Count of Cash_Payment" fld="14" subtotal="count" baseField="2" baseItem="0"/>
  </dataFields>
  <formats count="1">
    <format dxfId="577">
      <pivotArea field="14" type="button" dataOnly="0" labelOnly="1" outline="0" axis="axisPage"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7AAEA2BF-3B02-4B1A-8591-841666423232}" sourceName="Employee_Name">
  <pivotTables>
    <pivotTable tabId="5" name="PivotTable3"/>
    <pivotTable tabId="5" name="PivotTable1"/>
    <pivotTable tabId="5" name="PivotTable2"/>
    <pivotTable tabId="5" name="PivotTable4"/>
    <pivotTable tabId="3" name="PivotTable1"/>
    <pivotTable tabId="3" name="PivotTable2"/>
    <pivotTable tabId="3" name="PivotTable3"/>
    <pivotTable tabId="3" name="PivotTable4"/>
  </pivotTables>
  <data>
    <tabular pivotCacheId="1965486889">
      <items count="10">
        <i x="4" s="1"/>
        <i x="2" s="1"/>
        <i x="6" s="1"/>
        <i x="1" s="1"/>
        <i x="9" s="1"/>
        <i x="7" s="1"/>
        <i x="0" s="1"/>
        <i x="5" s="1"/>
        <i x="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68AF92-5442-4ADF-8607-133D6F2E110B}" sourceName="Department">
  <pivotTables>
    <pivotTable tabId="5" name="PivotTable3"/>
    <pivotTable tabId="5" name="PivotTable1"/>
    <pivotTable tabId="5" name="PivotTable2"/>
    <pivotTable tabId="5" name="PivotTable4"/>
    <pivotTable tabId="3" name="PivotTable1"/>
    <pivotTable tabId="3" name="PivotTable2"/>
    <pivotTable tabId="3" name="PivotTable3"/>
    <pivotTable tabId="3" name="PivotTable4"/>
  </pivotTables>
  <data>
    <tabular pivotCacheId="1965486889">
      <items count="5">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8A759F2D-9E23-4800-866D-23E69B74E1A0}" sourceName="Expense_Category">
  <pivotTables>
    <pivotTable tabId="5" name="PivotTable3"/>
    <pivotTable tabId="5" name="PivotTable1"/>
    <pivotTable tabId="5" name="PivotTable2"/>
    <pivotTable tabId="5" name="PivotTable4"/>
    <pivotTable tabId="3" name="PivotTable1"/>
    <pivotTable tabId="3" name="PivotTable2"/>
    <pivotTable tabId="3" name="PivotTable3"/>
    <pivotTable tabId="3" name="PivotTable4"/>
  </pivotTables>
  <data>
    <tabular pivotCacheId="1965486889">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_Name" xr10:uid="{A014A3C8-2CD8-4B68-A272-05288557DD58}" cache="Slicer_Employee_Name" caption="Employee_Name" style="SlicerStyleDark1" rowHeight="251883"/>
  <slicer name="Department" xr10:uid="{0E09EC4D-BA6E-45CB-9AAD-6EF4C6E9AB60}" cache="Slicer_Department" caption="Department" style="SlicerStyleDark1" rowHeight="251883"/>
  <slicer name="Expense_Category" xr10:uid="{EA10DF82-6B6A-409E-AEA5-2017252169C7}" cache="Slicer_Expense_Category" caption="Expense_Category"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54EAA-D610-46AF-8822-72482C73DD42}" name="Table1" displayName="Table1" ref="A1:C11" totalsRowShown="0" headerRowDxfId="609" dataDxfId="607" headerRowBorderDxfId="608" tableBorderDxfId="606">
  <autoFilter ref="A1:C11" xr:uid="{C8654EAA-D610-46AF-8822-72482C73DD42}"/>
  <tableColumns count="3">
    <tableColumn id="1" xr3:uid="{C554D53A-91B4-4224-B370-B9DDFCACB0E2}" name="Employee_ID" dataDxfId="605"/>
    <tableColumn id="2" xr3:uid="{0CFC8333-F091-48D2-A4FC-2C47C7EBE974}" name="Employee_Name" dataDxfId="604"/>
    <tableColumn id="3" xr3:uid="{56B7ED86-CBB6-47AA-935E-F66C2608F8B9}" name="Department" dataDxfId="6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F439C4-26B7-47C9-83D1-9EBF18F1380F}" name="Table2" displayName="Table2" ref="A1:Q31" totalsRowShown="0" headerRowDxfId="602" headerRowBorderDxfId="601" tableBorderDxfId="600">
  <autoFilter ref="A1:Q31" xr:uid="{1DF439C4-26B7-47C9-83D1-9EBF18F1380F}"/>
  <tableColumns count="17">
    <tableColumn id="1" xr3:uid="{B32E5544-EEC8-4323-B19A-733995381106}" name="Employee_ID" dataDxfId="599"/>
    <tableColumn id="2" xr3:uid="{58640ADC-37A1-47C8-A313-384098D8A4B5}" name="Employee_Name" dataDxfId="598">
      <calculatedColumnFormula>VLOOKUP(A2,'Employee_Master Sheet'!$A$2:$B$11,2,FALSE)</calculatedColumnFormula>
    </tableColumn>
    <tableColumn id="3" xr3:uid="{7662854C-E01E-4369-8722-A98C1B494FED}" name="Department" dataDxfId="597">
      <calculatedColumnFormula>VLOOKUP(A2,'Employee_Master Sheet'!$A$2:$C$11,3,FALSE)</calculatedColumnFormula>
    </tableColumn>
    <tableColumn id="4" xr3:uid="{F8DE128F-EE5A-4839-BEC7-3DBB6D3507B6}" name="Expense_Date" dataDxfId="596"/>
    <tableColumn id="5" xr3:uid="{E15A0F17-4B1D-4BC2-8737-173D52221C99}" name="Expense_Category" dataDxfId="595"/>
    <tableColumn id="6" xr3:uid="{6E8B3423-AEFE-4F1A-AB2D-4FA515805A02}" name="Merchant" dataDxfId="594"/>
    <tableColumn id="7" xr3:uid="{3E56F12F-255A-4E50-B5C7-3893FB56B574}" name="Amount" dataDxfId="593"/>
    <tableColumn id="8" xr3:uid="{0AA510FA-51E2-4400-900E-04A587499D8D}" name="Bill_Attached " dataDxfId="592"/>
    <tableColumn id="9" xr3:uid="{ED589949-B870-48D8-A1B5-F04736BD5511}" name="Payment_Mode" dataDxfId="591"/>
    <tableColumn id="10" xr3:uid="{1F9E9460-B95C-4AD5-A92E-E9A0D2302F71}" name="Policy_Limit" dataDxfId="590"/>
    <tableColumn id="11" xr3:uid="{C621C2C1-D884-4221-94FC-51AA8F72D199}" name="Status" dataDxfId="589"/>
    <tableColumn id="12" xr3:uid="{B8D3BF50-1692-49F0-98B1-FA7E9D43CB6C}" name="Comments" dataDxfId="588"/>
    <tableColumn id="13" xr3:uid="{7B120DC7-9F5B-41BF-BEFE-B042110CCF38}" name="Policy_Violation" dataDxfId="587">
      <calculatedColumnFormula>IF(G2&gt;J2,"Yes","No")</calculatedColumnFormula>
    </tableColumn>
    <tableColumn id="14" xr3:uid="{BCDEB10A-C603-4A45-B766-CC000A9E3F6B}" name="Missing_Bill_Flag" dataDxfId="586">
      <calculatedColumnFormula>IF(H2="No","Yes","No")</calculatedColumnFormula>
    </tableColumn>
    <tableColumn id="15" xr3:uid="{A3A1C75F-5AAA-4DA9-A274-E53FD84D844C}" name="Cash_Payment_Flag" dataDxfId="585">
      <calculatedColumnFormula>IF(I2="Cash","Yes","No")</calculatedColumnFormula>
    </tableColumn>
    <tableColumn id="16" xr3:uid="{BFF82D73-1EEB-4C4D-9A1D-D5954886B04B}" name="Weekend_Expense_Flag" dataDxfId="584">
      <calculatedColumnFormula>IF(WEEKDAY(D2,2)&gt;5,"Yes","No")</calculatedColumnFormula>
    </tableColumn>
    <tableColumn id="17" xr3:uid="{F0759B88-B111-4B4F-B627-5868FE8A8BD6}" name="Final_Status" dataDxfId="583">
      <calculatedColumnFormula>IF(OR(M2="Yes",N2="Yes",O2="Yes",P2="Yes"),"Review Required","Approved")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7E4E-8676-40D4-BA9A-DD09AA371D58}">
  <dimension ref="A1:C11"/>
  <sheetViews>
    <sheetView showGridLines="0" workbookViewId="0">
      <selection activeCell="C20" sqref="C20"/>
    </sheetView>
  </sheetViews>
  <sheetFormatPr defaultRowHeight="14.5" x14ac:dyDescent="0.35"/>
  <cols>
    <col min="1" max="1" width="13.6328125" customWidth="1"/>
    <col min="2" max="2" width="16.7265625" style="2" customWidth="1"/>
    <col min="3" max="3" width="12.81640625" customWidth="1"/>
  </cols>
  <sheetData>
    <row r="1" spans="1:3" ht="15" thickBot="1" x14ac:dyDescent="0.4">
      <c r="A1" s="12" t="s">
        <v>28</v>
      </c>
      <c r="B1" s="12" t="s">
        <v>0</v>
      </c>
      <c r="C1" s="12" t="s">
        <v>1</v>
      </c>
    </row>
    <row r="2" spans="1:3" x14ac:dyDescent="0.35">
      <c r="A2" s="3" t="s">
        <v>11</v>
      </c>
      <c r="B2" s="3" t="s">
        <v>12</v>
      </c>
      <c r="C2" s="3" t="s">
        <v>13</v>
      </c>
    </row>
    <row r="3" spans="1:3" x14ac:dyDescent="0.35">
      <c r="A3" s="4" t="s">
        <v>19</v>
      </c>
      <c r="B3" s="4" t="s">
        <v>29</v>
      </c>
      <c r="C3" s="4" t="s">
        <v>38</v>
      </c>
    </row>
    <row r="4" spans="1:3" x14ac:dyDescent="0.35">
      <c r="A4" s="4" t="s">
        <v>20</v>
      </c>
      <c r="B4" s="4" t="s">
        <v>30</v>
      </c>
      <c r="C4" s="4" t="s">
        <v>39</v>
      </c>
    </row>
    <row r="5" spans="1:3" x14ac:dyDescent="0.35">
      <c r="A5" s="4" t="s">
        <v>21</v>
      </c>
      <c r="B5" s="4" t="s">
        <v>31</v>
      </c>
      <c r="C5" s="4" t="s">
        <v>40</v>
      </c>
    </row>
    <row r="6" spans="1:3" x14ac:dyDescent="0.35">
      <c r="A6" s="4" t="s">
        <v>22</v>
      </c>
      <c r="B6" s="4" t="s">
        <v>32</v>
      </c>
      <c r="C6" s="4" t="s">
        <v>41</v>
      </c>
    </row>
    <row r="7" spans="1:3" x14ac:dyDescent="0.35">
      <c r="A7" s="4" t="s">
        <v>23</v>
      </c>
      <c r="B7" s="4" t="s">
        <v>33</v>
      </c>
      <c r="C7" s="4" t="s">
        <v>13</v>
      </c>
    </row>
    <row r="8" spans="1:3" x14ac:dyDescent="0.35">
      <c r="A8" s="4" t="s">
        <v>24</v>
      </c>
      <c r="B8" s="4" t="s">
        <v>34</v>
      </c>
      <c r="C8" s="4" t="s">
        <v>39</v>
      </c>
    </row>
    <row r="9" spans="1:3" x14ac:dyDescent="0.35">
      <c r="A9" s="4" t="s">
        <v>25</v>
      </c>
      <c r="B9" s="4" t="s">
        <v>35</v>
      </c>
      <c r="C9" s="4" t="s">
        <v>40</v>
      </c>
    </row>
    <row r="10" spans="1:3" x14ac:dyDescent="0.35">
      <c r="A10" s="4" t="s">
        <v>26</v>
      </c>
      <c r="B10" s="4" t="s">
        <v>36</v>
      </c>
      <c r="C10" s="4" t="s">
        <v>13</v>
      </c>
    </row>
    <row r="11" spans="1:3" x14ac:dyDescent="0.35">
      <c r="A11" s="13" t="s">
        <v>27</v>
      </c>
      <c r="B11" s="13" t="s">
        <v>37</v>
      </c>
      <c r="C11" s="13" t="s">
        <v>41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7FAA-7FC8-4BEC-9E35-52A3CA8D5704}">
  <dimension ref="A1:Q31"/>
  <sheetViews>
    <sheetView showGridLines="0" workbookViewId="0">
      <selection activeCell="D25" sqref="D25"/>
    </sheetView>
  </sheetViews>
  <sheetFormatPr defaultRowHeight="14.5" x14ac:dyDescent="0.35"/>
  <cols>
    <col min="1" max="1" width="13.6328125" style="2" customWidth="1"/>
    <col min="2" max="2" width="16.7265625" style="2" customWidth="1"/>
    <col min="3" max="3" width="12.81640625" style="2" customWidth="1"/>
    <col min="4" max="4" width="14.54296875" style="2" customWidth="1"/>
    <col min="5" max="5" width="18" style="2" customWidth="1"/>
    <col min="6" max="6" width="13.90625" style="2" bestFit="1" customWidth="1"/>
    <col min="7" max="7" width="9.36328125" style="2" customWidth="1"/>
    <col min="8" max="8" width="14.26953125" style="2" customWidth="1"/>
    <col min="9" max="9" width="15.54296875" style="2" customWidth="1"/>
    <col min="10" max="10" width="13" style="2" customWidth="1"/>
    <col min="11" max="11" width="8.36328125" style="2" customWidth="1"/>
    <col min="12" max="12" width="12" style="2" customWidth="1"/>
    <col min="13" max="13" width="16.1796875" customWidth="1"/>
    <col min="14" max="14" width="17" customWidth="1"/>
    <col min="15" max="15" width="19.54296875" customWidth="1"/>
    <col min="16" max="16" width="22.7265625" customWidth="1"/>
    <col min="17" max="17" width="14.08984375" bestFit="1" customWidth="1"/>
  </cols>
  <sheetData>
    <row r="1" spans="1:17" ht="15" thickBot="1" x14ac:dyDescent="0.4">
      <c r="A1" s="12" t="s">
        <v>28</v>
      </c>
      <c r="B1" s="12" t="s">
        <v>0</v>
      </c>
      <c r="C1" s="12" t="s">
        <v>1</v>
      </c>
      <c r="D1" s="12" t="s">
        <v>2</v>
      </c>
      <c r="E1" s="12" t="s">
        <v>3</v>
      </c>
      <c r="F1" s="12" t="s">
        <v>4</v>
      </c>
      <c r="G1" s="12" t="s">
        <v>5</v>
      </c>
      <c r="H1" s="12" t="s">
        <v>6</v>
      </c>
      <c r="I1" s="12" t="s">
        <v>7</v>
      </c>
      <c r="J1" s="12" t="s">
        <v>8</v>
      </c>
      <c r="K1" s="12" t="s">
        <v>9</v>
      </c>
      <c r="L1" s="12" t="s">
        <v>10</v>
      </c>
      <c r="M1" s="12" t="s">
        <v>65</v>
      </c>
      <c r="N1" s="12" t="s">
        <v>66</v>
      </c>
      <c r="O1" s="12" t="s">
        <v>67</v>
      </c>
      <c r="P1" s="12" t="s">
        <v>68</v>
      </c>
      <c r="Q1" s="12" t="s">
        <v>69</v>
      </c>
    </row>
    <row r="2" spans="1:17" x14ac:dyDescent="0.35">
      <c r="A2" s="6" t="s">
        <v>11</v>
      </c>
      <c r="B2" s="6" t="str">
        <f>VLOOKUP(A2,'Employee_Master Sheet'!$A$2:$B$11,2,FALSE)</f>
        <v>Rahul Sharma</v>
      </c>
      <c r="C2" s="6" t="str">
        <f>VLOOKUP(A2,'Employee_Master Sheet'!$A$2:$C$11,3,FALSE)</f>
        <v>Sales</v>
      </c>
      <c r="D2" s="7">
        <v>45659</v>
      </c>
      <c r="E2" s="6" t="s">
        <v>14</v>
      </c>
      <c r="F2" s="6" t="s">
        <v>15</v>
      </c>
      <c r="G2" s="6">
        <v>350</v>
      </c>
      <c r="H2" s="6" t="s">
        <v>16</v>
      </c>
      <c r="I2" s="6" t="s">
        <v>17</v>
      </c>
      <c r="J2" s="6">
        <v>500</v>
      </c>
      <c r="K2" s="6" t="s">
        <v>18</v>
      </c>
      <c r="L2" s="6" t="s">
        <v>64</v>
      </c>
      <c r="M2" s="9" t="str">
        <f>IF(G2&gt;J2,"Yes","No")</f>
        <v>No</v>
      </c>
      <c r="N2" s="9" t="str">
        <f>IF(H2="No","Yes","No")</f>
        <v>No</v>
      </c>
      <c r="O2" s="9" t="str">
        <f>IF(I2="Cash","Yes","No")</f>
        <v>No</v>
      </c>
      <c r="P2" s="9" t="str">
        <f>IF(WEEKDAY(D2,2)&gt;5,"Yes","No")</f>
        <v>No</v>
      </c>
      <c r="Q2" s="9" t="str">
        <f>IF(OR(M2="Yes",N2="Yes",O2="Yes",P2="Yes"),"Review Required","Approved")</f>
        <v>Approved</v>
      </c>
    </row>
    <row r="3" spans="1:17" x14ac:dyDescent="0.35">
      <c r="A3" s="4" t="s">
        <v>19</v>
      </c>
      <c r="B3" s="4" t="str">
        <f>VLOOKUP(A3,'Employee_Master Sheet'!$A$2:$B$11,2,FALSE)</f>
        <v>Neha Gupta</v>
      </c>
      <c r="C3" s="4" t="str">
        <f>VLOOKUP(A3,'Employee_Master Sheet'!$A$2:$C$11,3,FALSE)</f>
        <v>Marketing</v>
      </c>
      <c r="D3" s="5">
        <v>45660</v>
      </c>
      <c r="E3" s="4" t="s">
        <v>42</v>
      </c>
      <c r="F3" s="4" t="s">
        <v>46</v>
      </c>
      <c r="G3" s="4">
        <v>750</v>
      </c>
      <c r="H3" s="4" t="s">
        <v>62</v>
      </c>
      <c r="I3" s="4" t="s">
        <v>63</v>
      </c>
      <c r="J3" s="4">
        <v>500</v>
      </c>
      <c r="K3" s="4" t="s">
        <v>18</v>
      </c>
      <c r="L3" s="4" t="s">
        <v>64</v>
      </c>
      <c r="M3" s="8" t="str">
        <f t="shared" ref="M3:M31" si="0">IF(G3&gt;J3,"Yes","No")</f>
        <v>Yes</v>
      </c>
      <c r="N3" s="8" t="str">
        <f t="shared" ref="N3:N31" si="1">IF(H3="No","Yes","No")</f>
        <v>Yes</v>
      </c>
      <c r="O3" s="8" t="str">
        <f t="shared" ref="O3:O31" si="2">IF(I3="Cash","Yes","No")</f>
        <v>Yes</v>
      </c>
      <c r="P3" s="8" t="str">
        <f t="shared" ref="P3:P31" si="3">IF(WEEKDAY(D3,2)&gt;5,"Yes","No")</f>
        <v>No</v>
      </c>
      <c r="Q3" s="8" t="str">
        <f t="shared" ref="Q3:Q31" si="4">IF(OR(M3="Yes",N3="Yes",O3="Yes",P3="Yes"),"Review Required","Approved")</f>
        <v>Review Required</v>
      </c>
    </row>
    <row r="4" spans="1:17" x14ac:dyDescent="0.35">
      <c r="A4" s="4" t="s">
        <v>20</v>
      </c>
      <c r="B4" s="4" t="str">
        <f>VLOOKUP(A4,'Employee_Master Sheet'!$A$2:$B$11,2,FALSE)</f>
        <v>Arjun Verma</v>
      </c>
      <c r="C4" s="4" t="str">
        <f>VLOOKUP(A4,'Employee_Master Sheet'!$A$2:$C$11,3,FALSE)</f>
        <v>Finance</v>
      </c>
      <c r="D4" s="5">
        <v>45662</v>
      </c>
      <c r="E4" s="4" t="s">
        <v>43</v>
      </c>
      <c r="F4" s="4" t="s">
        <v>47</v>
      </c>
      <c r="G4" s="4">
        <v>1200</v>
      </c>
      <c r="H4" s="4" t="s">
        <v>16</v>
      </c>
      <c r="I4" s="4" t="s">
        <v>17</v>
      </c>
      <c r="J4" s="4">
        <v>1000</v>
      </c>
      <c r="K4" s="4" t="s">
        <v>18</v>
      </c>
      <c r="L4" s="4" t="s">
        <v>64</v>
      </c>
      <c r="M4" s="8" t="str">
        <f t="shared" si="0"/>
        <v>Yes</v>
      </c>
      <c r="N4" s="8" t="str">
        <f t="shared" si="1"/>
        <v>No</v>
      </c>
      <c r="O4" s="8" t="str">
        <f t="shared" si="2"/>
        <v>No</v>
      </c>
      <c r="P4" s="8" t="str">
        <f t="shared" si="3"/>
        <v>Yes</v>
      </c>
      <c r="Q4" s="8" t="str">
        <f t="shared" si="4"/>
        <v>Review Required</v>
      </c>
    </row>
    <row r="5" spans="1:17" x14ac:dyDescent="0.35">
      <c r="A5" s="4" t="s">
        <v>11</v>
      </c>
      <c r="B5" s="4" t="str">
        <f>VLOOKUP(A5,'Employee_Master Sheet'!$A$2:$B$11,2,FALSE)</f>
        <v>Rahul Sharma</v>
      </c>
      <c r="C5" s="4" t="str">
        <f>VLOOKUP(A5,'Employee_Master Sheet'!$A$2:$C$11,3,FALSE)</f>
        <v>Sales</v>
      </c>
      <c r="D5" s="5">
        <v>45662</v>
      </c>
      <c r="E5" s="4" t="s">
        <v>42</v>
      </c>
      <c r="F5" s="4" t="s">
        <v>48</v>
      </c>
      <c r="G5" s="4">
        <v>600</v>
      </c>
      <c r="H5" s="4" t="s">
        <v>16</v>
      </c>
      <c r="I5" s="4" t="s">
        <v>17</v>
      </c>
      <c r="J5" s="4">
        <v>500</v>
      </c>
      <c r="K5" s="4" t="s">
        <v>18</v>
      </c>
      <c r="L5" s="4" t="s">
        <v>64</v>
      </c>
      <c r="M5" s="8" t="str">
        <f t="shared" si="0"/>
        <v>Yes</v>
      </c>
      <c r="N5" s="8" t="str">
        <f t="shared" si="1"/>
        <v>No</v>
      </c>
      <c r="O5" s="8" t="str">
        <f t="shared" si="2"/>
        <v>No</v>
      </c>
      <c r="P5" s="8" t="str">
        <f t="shared" si="3"/>
        <v>Yes</v>
      </c>
      <c r="Q5" s="8" t="str">
        <f t="shared" si="4"/>
        <v>Review Required</v>
      </c>
    </row>
    <row r="6" spans="1:17" x14ac:dyDescent="0.35">
      <c r="A6" s="4" t="s">
        <v>21</v>
      </c>
      <c r="B6" s="4" t="str">
        <f>VLOOKUP(A6,'Employee_Master Sheet'!$A$2:$B$11,2,FALSE)</f>
        <v>Sonal Mehta</v>
      </c>
      <c r="C6" s="4" t="str">
        <f>VLOOKUP(A6,'Employee_Master Sheet'!$A$2:$C$11,3,FALSE)</f>
        <v>HR</v>
      </c>
      <c r="D6" s="5">
        <v>45665</v>
      </c>
      <c r="E6" s="4" t="s">
        <v>14</v>
      </c>
      <c r="F6" s="4" t="s">
        <v>15</v>
      </c>
      <c r="G6" s="4">
        <v>900</v>
      </c>
      <c r="H6" s="4" t="s">
        <v>62</v>
      </c>
      <c r="I6" s="4" t="s">
        <v>63</v>
      </c>
      <c r="J6" s="4">
        <v>500</v>
      </c>
      <c r="K6" s="4" t="s">
        <v>18</v>
      </c>
      <c r="L6" s="4" t="s">
        <v>64</v>
      </c>
      <c r="M6" s="8" t="str">
        <f t="shared" si="0"/>
        <v>Yes</v>
      </c>
      <c r="N6" s="8" t="str">
        <f t="shared" si="1"/>
        <v>Yes</v>
      </c>
      <c r="O6" s="8" t="str">
        <f t="shared" si="2"/>
        <v>Yes</v>
      </c>
      <c r="P6" s="8" t="str">
        <f t="shared" si="3"/>
        <v>No</v>
      </c>
      <c r="Q6" s="8" t="str">
        <f t="shared" si="4"/>
        <v>Review Required</v>
      </c>
    </row>
    <row r="7" spans="1:17" x14ac:dyDescent="0.35">
      <c r="A7" s="4" t="s">
        <v>22</v>
      </c>
      <c r="B7" s="4" t="str">
        <f>VLOOKUP(A7,'Employee_Master Sheet'!$A$2:$B$11,2,FALSE)</f>
        <v>Aman Singh</v>
      </c>
      <c r="C7" s="4" t="str">
        <f>VLOOKUP(A7,'Employee_Master Sheet'!$A$2:$C$11,3,FALSE)</f>
        <v>Operations</v>
      </c>
      <c r="D7" s="5">
        <v>45666</v>
      </c>
      <c r="E7" s="4" t="s">
        <v>14</v>
      </c>
      <c r="F7" s="4" t="s">
        <v>49</v>
      </c>
      <c r="G7" s="4">
        <v>450</v>
      </c>
      <c r="H7" s="4" t="s">
        <v>16</v>
      </c>
      <c r="I7" s="4" t="s">
        <v>17</v>
      </c>
      <c r="J7" s="4">
        <v>500</v>
      </c>
      <c r="K7" s="4" t="s">
        <v>18</v>
      </c>
      <c r="L7" s="4" t="s">
        <v>64</v>
      </c>
      <c r="M7" s="8" t="str">
        <f t="shared" si="0"/>
        <v>No</v>
      </c>
      <c r="N7" s="8" t="str">
        <f t="shared" si="1"/>
        <v>No</v>
      </c>
      <c r="O7" s="8" t="str">
        <f t="shared" si="2"/>
        <v>No</v>
      </c>
      <c r="P7" s="8" t="str">
        <f t="shared" si="3"/>
        <v>No</v>
      </c>
      <c r="Q7" s="8" t="str">
        <f t="shared" si="4"/>
        <v>Approved</v>
      </c>
    </row>
    <row r="8" spans="1:17" x14ac:dyDescent="0.35">
      <c r="A8" s="4" t="s">
        <v>19</v>
      </c>
      <c r="B8" s="4" t="str">
        <f>VLOOKUP(A8,'Employee_Master Sheet'!$A$2:$B$11,2,FALSE)</f>
        <v>Neha Gupta</v>
      </c>
      <c r="C8" s="4" t="str">
        <f>VLOOKUP(A8,'Employee_Master Sheet'!$A$2:$C$11,3,FALSE)</f>
        <v>Marketing</v>
      </c>
      <c r="D8" s="5">
        <v>45667</v>
      </c>
      <c r="E8" s="4" t="s">
        <v>42</v>
      </c>
      <c r="F8" s="4" t="s">
        <v>50</v>
      </c>
      <c r="G8" s="4">
        <v>400</v>
      </c>
      <c r="H8" s="4" t="s">
        <v>16</v>
      </c>
      <c r="I8" s="4" t="s">
        <v>17</v>
      </c>
      <c r="J8" s="4">
        <v>500</v>
      </c>
      <c r="K8" s="4" t="s">
        <v>18</v>
      </c>
      <c r="L8" s="4" t="s">
        <v>64</v>
      </c>
      <c r="M8" s="8" t="str">
        <f t="shared" si="0"/>
        <v>No</v>
      </c>
      <c r="N8" s="8" t="str">
        <f t="shared" si="1"/>
        <v>No</v>
      </c>
      <c r="O8" s="8" t="str">
        <f t="shared" si="2"/>
        <v>No</v>
      </c>
      <c r="P8" s="8" t="str">
        <f t="shared" si="3"/>
        <v>No</v>
      </c>
      <c r="Q8" s="8" t="str">
        <f t="shared" si="4"/>
        <v>Approved</v>
      </c>
    </row>
    <row r="9" spans="1:17" x14ac:dyDescent="0.35">
      <c r="A9" s="4" t="s">
        <v>23</v>
      </c>
      <c r="B9" s="4" t="str">
        <f>VLOOKUP(A9,'Employee_Master Sheet'!$A$2:$B$11,2,FALSE)</f>
        <v>Riya Malhotra</v>
      </c>
      <c r="C9" s="4" t="str">
        <f>VLOOKUP(A9,'Employee_Master Sheet'!$A$2:$C$11,3,FALSE)</f>
        <v>Sales</v>
      </c>
      <c r="D9" s="5">
        <v>45668</v>
      </c>
      <c r="E9" s="4" t="s">
        <v>44</v>
      </c>
      <c r="F9" s="4" t="s">
        <v>51</v>
      </c>
      <c r="G9" s="4">
        <v>3200</v>
      </c>
      <c r="H9" s="4" t="s">
        <v>16</v>
      </c>
      <c r="I9" s="4" t="s">
        <v>17</v>
      </c>
      <c r="J9" s="4">
        <v>3000</v>
      </c>
      <c r="K9" s="4" t="s">
        <v>18</v>
      </c>
      <c r="L9" s="4" t="s">
        <v>64</v>
      </c>
      <c r="M9" s="8" t="str">
        <f t="shared" si="0"/>
        <v>Yes</v>
      </c>
      <c r="N9" s="8" t="str">
        <f t="shared" si="1"/>
        <v>No</v>
      </c>
      <c r="O9" s="8" t="str">
        <f t="shared" si="2"/>
        <v>No</v>
      </c>
      <c r="P9" s="8" t="str">
        <f t="shared" si="3"/>
        <v>Yes</v>
      </c>
      <c r="Q9" s="8" t="str">
        <f t="shared" si="4"/>
        <v>Review Required</v>
      </c>
    </row>
    <row r="10" spans="1:17" x14ac:dyDescent="0.35">
      <c r="A10" s="4" t="s">
        <v>24</v>
      </c>
      <c r="B10" s="4" t="str">
        <f>VLOOKUP(A10,'Employee_Master Sheet'!$A$2:$B$11,2,FALSE)</f>
        <v>Karan Patel</v>
      </c>
      <c r="C10" s="4" t="str">
        <f>VLOOKUP(A10,'Employee_Master Sheet'!$A$2:$C$11,3,FALSE)</f>
        <v>Finance</v>
      </c>
      <c r="D10" s="5">
        <v>45669</v>
      </c>
      <c r="E10" s="4" t="s">
        <v>45</v>
      </c>
      <c r="F10" s="4" t="s">
        <v>52</v>
      </c>
      <c r="G10" s="4">
        <v>4500</v>
      </c>
      <c r="H10" s="4" t="s">
        <v>16</v>
      </c>
      <c r="I10" s="4" t="s">
        <v>17</v>
      </c>
      <c r="J10" s="4">
        <v>5000</v>
      </c>
      <c r="K10" s="4" t="s">
        <v>18</v>
      </c>
      <c r="L10" s="4" t="s">
        <v>64</v>
      </c>
      <c r="M10" s="8" t="str">
        <f t="shared" si="0"/>
        <v>No</v>
      </c>
      <c r="N10" s="8" t="str">
        <f t="shared" si="1"/>
        <v>No</v>
      </c>
      <c r="O10" s="8" t="str">
        <f t="shared" si="2"/>
        <v>No</v>
      </c>
      <c r="P10" s="8" t="str">
        <f t="shared" si="3"/>
        <v>Yes</v>
      </c>
      <c r="Q10" s="8" t="str">
        <f t="shared" si="4"/>
        <v>Review Required</v>
      </c>
    </row>
    <row r="11" spans="1:17" x14ac:dyDescent="0.35">
      <c r="A11" s="4" t="s">
        <v>20</v>
      </c>
      <c r="B11" s="4" t="str">
        <f>VLOOKUP(A11,'Employee_Master Sheet'!$A$2:$B$11,2,FALSE)</f>
        <v>Arjun Verma</v>
      </c>
      <c r="C11" s="4" t="str">
        <f>VLOOKUP(A11,'Employee_Master Sheet'!$A$2:$C$11,3,FALSE)</f>
        <v>Finance</v>
      </c>
      <c r="D11" s="5">
        <v>45670</v>
      </c>
      <c r="E11" s="4" t="s">
        <v>42</v>
      </c>
      <c r="F11" s="4" t="s">
        <v>53</v>
      </c>
      <c r="G11" s="4">
        <v>550</v>
      </c>
      <c r="H11" s="4" t="s">
        <v>62</v>
      </c>
      <c r="I11" s="4" t="s">
        <v>63</v>
      </c>
      <c r="J11" s="4">
        <v>500</v>
      </c>
      <c r="K11" s="4" t="s">
        <v>18</v>
      </c>
      <c r="L11" s="4" t="s">
        <v>64</v>
      </c>
      <c r="M11" s="8" t="str">
        <f t="shared" si="0"/>
        <v>Yes</v>
      </c>
      <c r="N11" s="8" t="str">
        <f t="shared" si="1"/>
        <v>Yes</v>
      </c>
      <c r="O11" s="8" t="str">
        <f t="shared" si="2"/>
        <v>Yes</v>
      </c>
      <c r="P11" s="8" t="str">
        <f t="shared" si="3"/>
        <v>No</v>
      </c>
      <c r="Q11" s="8" t="str">
        <f t="shared" si="4"/>
        <v>Review Required</v>
      </c>
    </row>
    <row r="12" spans="1:17" x14ac:dyDescent="0.35">
      <c r="A12" s="4" t="s">
        <v>25</v>
      </c>
      <c r="B12" s="4" t="str">
        <f>VLOOKUP(A12,'Employee_Master Sheet'!$A$2:$B$11,2,FALSE)</f>
        <v>Pooja Nair</v>
      </c>
      <c r="C12" s="4" t="str">
        <f>VLOOKUP(A12,'Employee_Master Sheet'!$A$2:$C$11,3,FALSE)</f>
        <v>HR</v>
      </c>
      <c r="D12" s="5">
        <v>45671</v>
      </c>
      <c r="E12" s="4" t="s">
        <v>14</v>
      </c>
      <c r="F12" s="4" t="s">
        <v>15</v>
      </c>
      <c r="G12" s="4">
        <v>200</v>
      </c>
      <c r="H12" s="4" t="s">
        <v>16</v>
      </c>
      <c r="I12" s="4" t="s">
        <v>17</v>
      </c>
      <c r="J12" s="4">
        <v>500</v>
      </c>
      <c r="K12" s="4" t="s">
        <v>18</v>
      </c>
      <c r="L12" s="4" t="s">
        <v>64</v>
      </c>
      <c r="M12" s="8" t="str">
        <f t="shared" si="0"/>
        <v>No</v>
      </c>
      <c r="N12" s="8" t="str">
        <f t="shared" si="1"/>
        <v>No</v>
      </c>
      <c r="O12" s="8" t="str">
        <f t="shared" si="2"/>
        <v>No</v>
      </c>
      <c r="P12" s="8" t="str">
        <f t="shared" si="3"/>
        <v>No</v>
      </c>
      <c r="Q12" s="8" t="str">
        <f t="shared" si="4"/>
        <v>Approved</v>
      </c>
    </row>
    <row r="13" spans="1:17" x14ac:dyDescent="0.35">
      <c r="A13" s="4" t="s">
        <v>26</v>
      </c>
      <c r="B13" s="4" t="str">
        <f>VLOOKUP(A13,'Employee_Master Sheet'!$A$2:$B$11,2,FALSE)</f>
        <v>Rohan Iyer</v>
      </c>
      <c r="C13" s="4" t="str">
        <f>VLOOKUP(A13,'Employee_Master Sheet'!$A$2:$C$11,3,FALSE)</f>
        <v>Sales</v>
      </c>
      <c r="D13" s="5">
        <v>45672</v>
      </c>
      <c r="E13" s="4" t="s">
        <v>44</v>
      </c>
      <c r="F13" s="4" t="s">
        <v>54</v>
      </c>
      <c r="G13" s="4">
        <v>2800</v>
      </c>
      <c r="H13" s="4" t="s">
        <v>16</v>
      </c>
      <c r="I13" s="4" t="s">
        <v>17</v>
      </c>
      <c r="J13" s="4">
        <v>2500</v>
      </c>
      <c r="K13" s="4" t="s">
        <v>18</v>
      </c>
      <c r="L13" s="4" t="s">
        <v>64</v>
      </c>
      <c r="M13" s="8" t="str">
        <f t="shared" si="0"/>
        <v>Yes</v>
      </c>
      <c r="N13" s="8" t="str">
        <f t="shared" si="1"/>
        <v>No</v>
      </c>
      <c r="O13" s="8" t="str">
        <f t="shared" si="2"/>
        <v>No</v>
      </c>
      <c r="P13" s="8" t="str">
        <f t="shared" si="3"/>
        <v>No</v>
      </c>
      <c r="Q13" s="8" t="str">
        <f t="shared" si="4"/>
        <v>Review Required</v>
      </c>
    </row>
    <row r="14" spans="1:17" x14ac:dyDescent="0.35">
      <c r="A14" s="4" t="s">
        <v>27</v>
      </c>
      <c r="B14" s="4" t="str">
        <f>VLOOKUP(A14,'Employee_Master Sheet'!$A$2:$B$11,2,FALSE)</f>
        <v>Nisha Jain</v>
      </c>
      <c r="C14" s="4" t="str">
        <f>VLOOKUP(A14,'Employee_Master Sheet'!$A$2:$C$11,3,FALSE)</f>
        <v>Operations</v>
      </c>
      <c r="D14" s="5">
        <v>45673</v>
      </c>
      <c r="E14" s="4" t="s">
        <v>43</v>
      </c>
      <c r="F14" s="4" t="s">
        <v>55</v>
      </c>
      <c r="G14" s="4">
        <v>850</v>
      </c>
      <c r="H14" s="4" t="s">
        <v>16</v>
      </c>
      <c r="I14" s="4" t="s">
        <v>17</v>
      </c>
      <c r="J14" s="4">
        <v>1000</v>
      </c>
      <c r="K14" s="4" t="s">
        <v>18</v>
      </c>
      <c r="L14" s="4" t="s">
        <v>64</v>
      </c>
      <c r="M14" s="8" t="str">
        <f t="shared" si="0"/>
        <v>No</v>
      </c>
      <c r="N14" s="8" t="str">
        <f t="shared" si="1"/>
        <v>No</v>
      </c>
      <c r="O14" s="8" t="str">
        <f t="shared" si="2"/>
        <v>No</v>
      </c>
      <c r="P14" s="8" t="str">
        <f t="shared" si="3"/>
        <v>No</v>
      </c>
      <c r="Q14" s="8" t="str">
        <f t="shared" si="4"/>
        <v>Approved</v>
      </c>
    </row>
    <row r="15" spans="1:17" x14ac:dyDescent="0.35">
      <c r="A15" s="4" t="s">
        <v>23</v>
      </c>
      <c r="B15" s="4" t="str">
        <f>VLOOKUP(A15,'Employee_Master Sheet'!$A$2:$B$11,2,FALSE)</f>
        <v>Riya Malhotra</v>
      </c>
      <c r="C15" s="4" t="str">
        <f>VLOOKUP(A15,'Employee_Master Sheet'!$A$2:$C$11,3,FALSE)</f>
        <v>Sales</v>
      </c>
      <c r="D15" s="5">
        <v>45674</v>
      </c>
      <c r="E15" s="4" t="s">
        <v>14</v>
      </c>
      <c r="F15" s="4" t="s">
        <v>49</v>
      </c>
      <c r="G15" s="4">
        <v>650</v>
      </c>
      <c r="H15" s="4" t="s">
        <v>62</v>
      </c>
      <c r="I15" s="4" t="s">
        <v>63</v>
      </c>
      <c r="J15" s="4">
        <v>500</v>
      </c>
      <c r="K15" s="4" t="s">
        <v>18</v>
      </c>
      <c r="L15" s="4" t="s">
        <v>64</v>
      </c>
      <c r="M15" s="8" t="str">
        <f t="shared" si="0"/>
        <v>Yes</v>
      </c>
      <c r="N15" s="8" t="str">
        <f t="shared" si="1"/>
        <v>Yes</v>
      </c>
      <c r="O15" s="8" t="str">
        <f t="shared" si="2"/>
        <v>Yes</v>
      </c>
      <c r="P15" s="8" t="str">
        <f t="shared" si="3"/>
        <v>No</v>
      </c>
      <c r="Q15" s="8" t="str">
        <f t="shared" si="4"/>
        <v>Review Required</v>
      </c>
    </row>
    <row r="16" spans="1:17" x14ac:dyDescent="0.35">
      <c r="A16" s="4" t="s">
        <v>21</v>
      </c>
      <c r="B16" s="4" t="str">
        <f>VLOOKUP(A16,'Employee_Master Sheet'!$A$2:$B$11,2,FALSE)</f>
        <v>Sonal Mehta</v>
      </c>
      <c r="C16" s="4" t="str">
        <f>VLOOKUP(A16,'Employee_Master Sheet'!$A$2:$C$11,3,FALSE)</f>
        <v>HR</v>
      </c>
      <c r="D16" s="5">
        <v>45675</v>
      </c>
      <c r="E16" s="4" t="s">
        <v>42</v>
      </c>
      <c r="F16" s="4" t="s">
        <v>56</v>
      </c>
      <c r="G16" s="4">
        <v>300</v>
      </c>
      <c r="H16" s="4" t="s">
        <v>16</v>
      </c>
      <c r="I16" s="4" t="s">
        <v>17</v>
      </c>
      <c r="J16" s="4">
        <v>500</v>
      </c>
      <c r="K16" s="4" t="s">
        <v>18</v>
      </c>
      <c r="L16" s="4" t="s">
        <v>64</v>
      </c>
      <c r="M16" s="8" t="str">
        <f t="shared" si="0"/>
        <v>No</v>
      </c>
      <c r="N16" s="8" t="str">
        <f t="shared" si="1"/>
        <v>No</v>
      </c>
      <c r="O16" s="8" t="str">
        <f t="shared" si="2"/>
        <v>No</v>
      </c>
      <c r="P16" s="8" t="str">
        <f t="shared" si="3"/>
        <v>Yes</v>
      </c>
      <c r="Q16" s="8" t="str">
        <f t="shared" si="4"/>
        <v>Review Required</v>
      </c>
    </row>
    <row r="17" spans="1:17" x14ac:dyDescent="0.35">
      <c r="A17" s="4" t="s">
        <v>22</v>
      </c>
      <c r="B17" s="4" t="str">
        <f>VLOOKUP(A17,'Employee_Master Sheet'!$A$2:$B$11,2,FALSE)</f>
        <v>Aman Singh</v>
      </c>
      <c r="C17" s="4" t="str">
        <f>VLOOKUP(A17,'Employee_Master Sheet'!$A$2:$C$11,3,FALSE)</f>
        <v>Operations</v>
      </c>
      <c r="D17" s="5">
        <v>45676</v>
      </c>
      <c r="E17" s="4" t="s">
        <v>14</v>
      </c>
      <c r="F17" s="4" t="s">
        <v>15</v>
      </c>
      <c r="G17" s="4">
        <v>1100</v>
      </c>
      <c r="H17" s="4" t="s">
        <v>16</v>
      </c>
      <c r="I17" s="4" t="s">
        <v>17</v>
      </c>
      <c r="J17" s="4">
        <v>500</v>
      </c>
      <c r="K17" s="4" t="s">
        <v>18</v>
      </c>
      <c r="L17" s="4" t="s">
        <v>64</v>
      </c>
      <c r="M17" s="8" t="str">
        <f t="shared" si="0"/>
        <v>Yes</v>
      </c>
      <c r="N17" s="8" t="str">
        <f t="shared" si="1"/>
        <v>No</v>
      </c>
      <c r="O17" s="8" t="str">
        <f t="shared" si="2"/>
        <v>No</v>
      </c>
      <c r="P17" s="8" t="str">
        <f t="shared" si="3"/>
        <v>Yes</v>
      </c>
      <c r="Q17" s="8" t="str">
        <f t="shared" si="4"/>
        <v>Review Required</v>
      </c>
    </row>
    <row r="18" spans="1:17" x14ac:dyDescent="0.35">
      <c r="A18" s="4" t="s">
        <v>24</v>
      </c>
      <c r="B18" s="4" t="str">
        <f>VLOOKUP(A18,'Employee_Master Sheet'!$A$2:$B$11,2,FALSE)</f>
        <v>Karan Patel</v>
      </c>
      <c r="C18" s="4" t="str">
        <f>VLOOKUP(A18,'Employee_Master Sheet'!$A$2:$C$11,3,FALSE)</f>
        <v>Finance</v>
      </c>
      <c r="D18" s="5">
        <v>45677</v>
      </c>
      <c r="E18" s="4" t="s">
        <v>42</v>
      </c>
      <c r="F18" s="4" t="s">
        <v>57</v>
      </c>
      <c r="G18" s="4">
        <v>450</v>
      </c>
      <c r="H18" s="4" t="s">
        <v>16</v>
      </c>
      <c r="I18" s="4" t="s">
        <v>17</v>
      </c>
      <c r="J18" s="4">
        <v>500</v>
      </c>
      <c r="K18" s="4" t="s">
        <v>18</v>
      </c>
      <c r="L18" s="4" t="s">
        <v>64</v>
      </c>
      <c r="M18" s="8" t="str">
        <f t="shared" si="0"/>
        <v>No</v>
      </c>
      <c r="N18" s="8" t="str">
        <f t="shared" si="1"/>
        <v>No</v>
      </c>
      <c r="O18" s="8" t="str">
        <f t="shared" si="2"/>
        <v>No</v>
      </c>
      <c r="P18" s="8" t="str">
        <f t="shared" si="3"/>
        <v>No</v>
      </c>
      <c r="Q18" s="8" t="str">
        <f t="shared" si="4"/>
        <v>Approved</v>
      </c>
    </row>
    <row r="19" spans="1:17" x14ac:dyDescent="0.35">
      <c r="A19" s="4" t="s">
        <v>25</v>
      </c>
      <c r="B19" s="4" t="str">
        <f>VLOOKUP(A19,'Employee_Master Sheet'!$A$2:$B$11,2,FALSE)</f>
        <v>Pooja Nair</v>
      </c>
      <c r="C19" s="4" t="str">
        <f>VLOOKUP(A19,'Employee_Master Sheet'!$A$2:$C$11,3,FALSE)</f>
        <v>HR</v>
      </c>
      <c r="D19" s="5">
        <v>45678</v>
      </c>
      <c r="E19" s="4" t="s">
        <v>14</v>
      </c>
      <c r="F19" s="4" t="s">
        <v>49</v>
      </c>
      <c r="G19" s="4">
        <v>520</v>
      </c>
      <c r="H19" s="4" t="s">
        <v>16</v>
      </c>
      <c r="I19" s="4" t="s">
        <v>17</v>
      </c>
      <c r="J19" s="4">
        <v>500</v>
      </c>
      <c r="K19" s="4" t="s">
        <v>18</v>
      </c>
      <c r="L19" s="4" t="s">
        <v>64</v>
      </c>
      <c r="M19" s="8" t="str">
        <f t="shared" si="0"/>
        <v>Yes</v>
      </c>
      <c r="N19" s="8" t="str">
        <f t="shared" si="1"/>
        <v>No</v>
      </c>
      <c r="O19" s="8" t="str">
        <f t="shared" si="2"/>
        <v>No</v>
      </c>
      <c r="P19" s="8" t="str">
        <f t="shared" si="3"/>
        <v>No</v>
      </c>
      <c r="Q19" s="8" t="str">
        <f t="shared" si="4"/>
        <v>Review Required</v>
      </c>
    </row>
    <row r="20" spans="1:17" x14ac:dyDescent="0.35">
      <c r="A20" s="4" t="s">
        <v>26</v>
      </c>
      <c r="B20" s="4" t="str">
        <f>VLOOKUP(A20,'Employee_Master Sheet'!$A$2:$B$11,2,FALSE)</f>
        <v>Rohan Iyer</v>
      </c>
      <c r="C20" s="4" t="str">
        <f>VLOOKUP(A20,'Employee_Master Sheet'!$A$2:$C$11,3,FALSE)</f>
        <v>Sales</v>
      </c>
      <c r="D20" s="5">
        <v>45679</v>
      </c>
      <c r="E20" s="4" t="s">
        <v>44</v>
      </c>
      <c r="F20" s="4" t="s">
        <v>58</v>
      </c>
      <c r="G20" s="4">
        <v>5000</v>
      </c>
      <c r="H20" s="4" t="s">
        <v>16</v>
      </c>
      <c r="I20" s="4" t="s">
        <v>17</v>
      </c>
      <c r="J20" s="4">
        <v>3000</v>
      </c>
      <c r="K20" s="4" t="s">
        <v>18</v>
      </c>
      <c r="L20" s="4" t="s">
        <v>64</v>
      </c>
      <c r="M20" s="8" t="str">
        <f t="shared" si="0"/>
        <v>Yes</v>
      </c>
      <c r="N20" s="8" t="str">
        <f t="shared" si="1"/>
        <v>No</v>
      </c>
      <c r="O20" s="8" t="str">
        <f t="shared" si="2"/>
        <v>No</v>
      </c>
      <c r="P20" s="8" t="str">
        <f t="shared" si="3"/>
        <v>No</v>
      </c>
      <c r="Q20" s="8" t="str">
        <f t="shared" si="4"/>
        <v>Review Required</v>
      </c>
    </row>
    <row r="21" spans="1:17" x14ac:dyDescent="0.35">
      <c r="A21" s="4" t="s">
        <v>27</v>
      </c>
      <c r="B21" s="4" t="str">
        <f>VLOOKUP(A21,'Employee_Master Sheet'!$A$2:$B$11,2,FALSE)</f>
        <v>Nisha Jain</v>
      </c>
      <c r="C21" s="4" t="str">
        <f>VLOOKUP(A21,'Employee_Master Sheet'!$A$2:$C$11,3,FALSE)</f>
        <v>Operations</v>
      </c>
      <c r="D21" s="5">
        <v>45680</v>
      </c>
      <c r="E21" s="4" t="s">
        <v>42</v>
      </c>
      <c r="F21" s="4" t="s">
        <v>59</v>
      </c>
      <c r="G21" s="4">
        <v>650</v>
      </c>
      <c r="H21" s="4" t="s">
        <v>62</v>
      </c>
      <c r="I21" s="4" t="s">
        <v>63</v>
      </c>
      <c r="J21" s="4">
        <v>500</v>
      </c>
      <c r="K21" s="4" t="s">
        <v>18</v>
      </c>
      <c r="L21" s="4" t="s">
        <v>64</v>
      </c>
      <c r="M21" s="8" t="str">
        <f t="shared" si="0"/>
        <v>Yes</v>
      </c>
      <c r="N21" s="8" t="str">
        <f t="shared" si="1"/>
        <v>Yes</v>
      </c>
      <c r="O21" s="8" t="str">
        <f t="shared" si="2"/>
        <v>Yes</v>
      </c>
      <c r="P21" s="8" t="str">
        <f t="shared" si="3"/>
        <v>No</v>
      </c>
      <c r="Q21" s="8" t="str">
        <f t="shared" si="4"/>
        <v>Review Required</v>
      </c>
    </row>
    <row r="22" spans="1:17" x14ac:dyDescent="0.35">
      <c r="A22" s="4" t="s">
        <v>11</v>
      </c>
      <c r="B22" s="4" t="str">
        <f>VLOOKUP(A22,'Employee_Master Sheet'!$A$2:$B$11,2,FALSE)</f>
        <v>Rahul Sharma</v>
      </c>
      <c r="C22" s="4" t="str">
        <f>VLOOKUP(A22,'Employee_Master Sheet'!$A$2:$C$11,3,FALSE)</f>
        <v>Sales</v>
      </c>
      <c r="D22" s="5">
        <v>45681</v>
      </c>
      <c r="E22" s="4" t="s">
        <v>14</v>
      </c>
      <c r="F22" s="4" t="s">
        <v>15</v>
      </c>
      <c r="G22" s="4">
        <v>480</v>
      </c>
      <c r="H22" s="4" t="s">
        <v>16</v>
      </c>
      <c r="I22" s="4" t="s">
        <v>17</v>
      </c>
      <c r="J22" s="4">
        <v>500</v>
      </c>
      <c r="K22" s="4" t="s">
        <v>18</v>
      </c>
      <c r="L22" s="4" t="s">
        <v>64</v>
      </c>
      <c r="M22" s="8" t="str">
        <f t="shared" si="0"/>
        <v>No</v>
      </c>
      <c r="N22" s="8" t="str">
        <f t="shared" si="1"/>
        <v>No</v>
      </c>
      <c r="O22" s="8" t="str">
        <f t="shared" si="2"/>
        <v>No</v>
      </c>
      <c r="P22" s="8" t="str">
        <f t="shared" si="3"/>
        <v>No</v>
      </c>
      <c r="Q22" s="8" t="str">
        <f t="shared" si="4"/>
        <v>Approved</v>
      </c>
    </row>
    <row r="23" spans="1:17" x14ac:dyDescent="0.35">
      <c r="A23" s="4" t="s">
        <v>19</v>
      </c>
      <c r="B23" s="4" t="str">
        <f>VLOOKUP(A23,'Employee_Master Sheet'!$A$2:$B$11,2,FALSE)</f>
        <v>Neha Gupta</v>
      </c>
      <c r="C23" s="4" t="str">
        <f>VLOOKUP(A23,'Employee_Master Sheet'!$A$2:$C$11,3,FALSE)</f>
        <v>Marketing</v>
      </c>
      <c r="D23" s="5">
        <v>45682</v>
      </c>
      <c r="E23" s="4" t="s">
        <v>44</v>
      </c>
      <c r="F23" s="4" t="s">
        <v>60</v>
      </c>
      <c r="G23" s="4">
        <v>4200</v>
      </c>
      <c r="H23" s="4" t="s">
        <v>16</v>
      </c>
      <c r="I23" s="4" t="s">
        <v>17</v>
      </c>
      <c r="J23" s="4">
        <v>3000</v>
      </c>
      <c r="K23" s="4" t="s">
        <v>18</v>
      </c>
      <c r="L23" s="4" t="s">
        <v>64</v>
      </c>
      <c r="M23" s="8" t="str">
        <f t="shared" si="0"/>
        <v>Yes</v>
      </c>
      <c r="N23" s="8" t="str">
        <f t="shared" si="1"/>
        <v>No</v>
      </c>
      <c r="O23" s="8" t="str">
        <f t="shared" si="2"/>
        <v>No</v>
      </c>
      <c r="P23" s="8" t="str">
        <f t="shared" si="3"/>
        <v>Yes</v>
      </c>
      <c r="Q23" s="8" t="str">
        <f t="shared" si="4"/>
        <v>Review Required</v>
      </c>
    </row>
    <row r="24" spans="1:17" x14ac:dyDescent="0.35">
      <c r="A24" s="4" t="s">
        <v>20</v>
      </c>
      <c r="B24" s="4" t="str">
        <f>VLOOKUP(A24,'Employee_Master Sheet'!$A$2:$B$11,2,FALSE)</f>
        <v>Arjun Verma</v>
      </c>
      <c r="C24" s="4" t="str">
        <f>VLOOKUP(A24,'Employee_Master Sheet'!$A$2:$C$11,3,FALSE)</f>
        <v>Finance</v>
      </c>
      <c r="D24" s="5">
        <v>45683</v>
      </c>
      <c r="E24" s="4" t="s">
        <v>14</v>
      </c>
      <c r="F24" s="4" t="s">
        <v>49</v>
      </c>
      <c r="G24" s="4">
        <v>300</v>
      </c>
      <c r="H24" s="4" t="s">
        <v>16</v>
      </c>
      <c r="I24" s="4" t="s">
        <v>17</v>
      </c>
      <c r="J24" s="4">
        <v>500</v>
      </c>
      <c r="K24" s="4" t="s">
        <v>18</v>
      </c>
      <c r="L24" s="4" t="s">
        <v>64</v>
      </c>
      <c r="M24" s="8" t="str">
        <f t="shared" si="0"/>
        <v>No</v>
      </c>
      <c r="N24" s="8" t="str">
        <f t="shared" si="1"/>
        <v>No</v>
      </c>
      <c r="O24" s="8" t="str">
        <f t="shared" si="2"/>
        <v>No</v>
      </c>
      <c r="P24" s="8" t="str">
        <f t="shared" si="3"/>
        <v>Yes</v>
      </c>
      <c r="Q24" s="8" t="str">
        <f t="shared" si="4"/>
        <v>Review Required</v>
      </c>
    </row>
    <row r="25" spans="1:17" x14ac:dyDescent="0.35">
      <c r="A25" s="4" t="s">
        <v>21</v>
      </c>
      <c r="B25" s="4" t="str">
        <f>VLOOKUP(A25,'Employee_Master Sheet'!$A$2:$B$11,2,FALSE)</f>
        <v>Sonal Mehta</v>
      </c>
      <c r="C25" s="4" t="str">
        <f>VLOOKUP(A25,'Employee_Master Sheet'!$A$2:$C$11,3,FALSE)</f>
        <v>HR</v>
      </c>
      <c r="D25" s="5">
        <v>45684</v>
      </c>
      <c r="E25" s="4" t="s">
        <v>42</v>
      </c>
      <c r="F25" s="4" t="s">
        <v>61</v>
      </c>
      <c r="G25" s="4">
        <v>550</v>
      </c>
      <c r="H25" s="4" t="s">
        <v>62</v>
      </c>
      <c r="I25" s="4" t="s">
        <v>63</v>
      </c>
      <c r="J25" s="4">
        <v>500</v>
      </c>
      <c r="K25" s="4" t="s">
        <v>18</v>
      </c>
      <c r="L25" s="4" t="s">
        <v>64</v>
      </c>
      <c r="M25" s="8" t="str">
        <f t="shared" si="0"/>
        <v>Yes</v>
      </c>
      <c r="N25" s="8" t="str">
        <f t="shared" si="1"/>
        <v>Yes</v>
      </c>
      <c r="O25" s="8" t="str">
        <f t="shared" si="2"/>
        <v>Yes</v>
      </c>
      <c r="P25" s="8" t="str">
        <f t="shared" si="3"/>
        <v>No</v>
      </c>
      <c r="Q25" s="8" t="str">
        <f t="shared" si="4"/>
        <v>Review Required</v>
      </c>
    </row>
    <row r="26" spans="1:17" x14ac:dyDescent="0.35">
      <c r="A26" s="4" t="s">
        <v>22</v>
      </c>
      <c r="B26" s="4" t="str">
        <f>VLOOKUP(A26,'Employee_Master Sheet'!$A$2:$B$11,2,FALSE)</f>
        <v>Aman Singh</v>
      </c>
      <c r="C26" s="4" t="str">
        <f>VLOOKUP(A26,'Employee_Master Sheet'!$A$2:$C$11,3,FALSE)</f>
        <v>Operations</v>
      </c>
      <c r="D26" s="5">
        <v>45685</v>
      </c>
      <c r="E26" s="4" t="s">
        <v>43</v>
      </c>
      <c r="F26" s="4" t="s">
        <v>47</v>
      </c>
      <c r="G26" s="4">
        <v>1300</v>
      </c>
      <c r="H26" s="4" t="s">
        <v>16</v>
      </c>
      <c r="I26" s="4" t="s">
        <v>17</v>
      </c>
      <c r="J26" s="4">
        <v>1000</v>
      </c>
      <c r="K26" s="4" t="s">
        <v>18</v>
      </c>
      <c r="L26" s="4" t="s">
        <v>64</v>
      </c>
      <c r="M26" s="8" t="str">
        <f t="shared" si="0"/>
        <v>Yes</v>
      </c>
      <c r="N26" s="8" t="str">
        <f t="shared" si="1"/>
        <v>No</v>
      </c>
      <c r="O26" s="8" t="str">
        <f t="shared" si="2"/>
        <v>No</v>
      </c>
      <c r="P26" s="8" t="str">
        <f t="shared" si="3"/>
        <v>No</v>
      </c>
      <c r="Q26" s="8" t="str">
        <f t="shared" si="4"/>
        <v>Review Required</v>
      </c>
    </row>
    <row r="27" spans="1:17" x14ac:dyDescent="0.35">
      <c r="A27" s="4" t="s">
        <v>23</v>
      </c>
      <c r="B27" s="4" t="str">
        <f>VLOOKUP(A27,'Employee_Master Sheet'!$A$2:$B$11,2,FALSE)</f>
        <v>Riya Malhotra</v>
      </c>
      <c r="C27" s="4" t="str">
        <f>VLOOKUP(A27,'Employee_Master Sheet'!$A$2:$C$11,3,FALSE)</f>
        <v>Sales</v>
      </c>
      <c r="D27" s="5">
        <v>45686</v>
      </c>
      <c r="E27" s="4" t="s">
        <v>14</v>
      </c>
      <c r="F27" s="4" t="s">
        <v>15</v>
      </c>
      <c r="G27" s="4">
        <v>700</v>
      </c>
      <c r="H27" s="4" t="s">
        <v>16</v>
      </c>
      <c r="I27" s="4" t="s">
        <v>17</v>
      </c>
      <c r="J27" s="4">
        <v>500</v>
      </c>
      <c r="K27" s="4" t="s">
        <v>18</v>
      </c>
      <c r="L27" s="4" t="s">
        <v>64</v>
      </c>
      <c r="M27" s="8" t="str">
        <f t="shared" si="0"/>
        <v>Yes</v>
      </c>
      <c r="N27" s="8" t="str">
        <f t="shared" si="1"/>
        <v>No</v>
      </c>
      <c r="O27" s="8" t="str">
        <f t="shared" si="2"/>
        <v>No</v>
      </c>
      <c r="P27" s="8" t="str">
        <f t="shared" si="3"/>
        <v>No</v>
      </c>
      <c r="Q27" s="8" t="str">
        <f t="shared" si="4"/>
        <v>Review Required</v>
      </c>
    </row>
    <row r="28" spans="1:17" x14ac:dyDescent="0.35">
      <c r="A28" s="4" t="s">
        <v>24</v>
      </c>
      <c r="B28" s="4" t="str">
        <f>VLOOKUP(A28,'Employee_Master Sheet'!$A$2:$B$11,2,FALSE)</f>
        <v>Karan Patel</v>
      </c>
      <c r="C28" s="4" t="str">
        <f>VLOOKUP(A28,'Employee_Master Sheet'!$A$2:$C$11,3,FALSE)</f>
        <v>Finance</v>
      </c>
      <c r="D28" s="5">
        <v>45687</v>
      </c>
      <c r="E28" s="4" t="s">
        <v>42</v>
      </c>
      <c r="F28" s="4" t="s">
        <v>46</v>
      </c>
      <c r="G28" s="4">
        <v>600</v>
      </c>
      <c r="H28" s="4" t="s">
        <v>16</v>
      </c>
      <c r="I28" s="4" t="s">
        <v>17</v>
      </c>
      <c r="J28" s="4">
        <v>500</v>
      </c>
      <c r="K28" s="4" t="s">
        <v>18</v>
      </c>
      <c r="L28" s="4" t="s">
        <v>64</v>
      </c>
      <c r="M28" s="8" t="str">
        <f t="shared" si="0"/>
        <v>Yes</v>
      </c>
      <c r="N28" s="8" t="str">
        <f t="shared" si="1"/>
        <v>No</v>
      </c>
      <c r="O28" s="8" t="str">
        <f t="shared" si="2"/>
        <v>No</v>
      </c>
      <c r="P28" s="8" t="str">
        <f t="shared" si="3"/>
        <v>No</v>
      </c>
      <c r="Q28" s="8" t="str">
        <f t="shared" si="4"/>
        <v>Review Required</v>
      </c>
    </row>
    <row r="29" spans="1:17" x14ac:dyDescent="0.35">
      <c r="A29" s="4" t="s">
        <v>25</v>
      </c>
      <c r="B29" s="4" t="str">
        <f>VLOOKUP(A29,'Employee_Master Sheet'!$A$2:$B$11,2,FALSE)</f>
        <v>Pooja Nair</v>
      </c>
      <c r="C29" s="4" t="str">
        <f>VLOOKUP(A29,'Employee_Master Sheet'!$A$2:$C$11,3,FALSE)</f>
        <v>HR</v>
      </c>
      <c r="D29" s="5">
        <v>45688</v>
      </c>
      <c r="E29" s="4" t="s">
        <v>14</v>
      </c>
      <c r="F29" s="4" t="s">
        <v>15</v>
      </c>
      <c r="G29" s="4">
        <v>450</v>
      </c>
      <c r="H29" s="4" t="s">
        <v>16</v>
      </c>
      <c r="I29" s="4" t="s">
        <v>17</v>
      </c>
      <c r="J29" s="4">
        <v>500</v>
      </c>
      <c r="K29" s="4" t="s">
        <v>18</v>
      </c>
      <c r="L29" s="4" t="s">
        <v>64</v>
      </c>
      <c r="M29" s="8" t="str">
        <f t="shared" si="0"/>
        <v>No</v>
      </c>
      <c r="N29" s="8" t="str">
        <f t="shared" si="1"/>
        <v>No</v>
      </c>
      <c r="O29" s="8" t="str">
        <f t="shared" si="2"/>
        <v>No</v>
      </c>
      <c r="P29" s="8" t="str">
        <f t="shared" si="3"/>
        <v>No</v>
      </c>
      <c r="Q29" s="8" t="str">
        <f t="shared" si="4"/>
        <v>Approved</v>
      </c>
    </row>
    <row r="30" spans="1:17" x14ac:dyDescent="0.35">
      <c r="A30" s="4" t="s">
        <v>26</v>
      </c>
      <c r="B30" s="4" t="str">
        <f>VLOOKUP(A30,'Employee_Master Sheet'!$A$2:$B$11,2,FALSE)</f>
        <v>Rohan Iyer</v>
      </c>
      <c r="C30" s="4" t="str">
        <f>VLOOKUP(A30,'Employee_Master Sheet'!$A$2:$C$11,3,FALSE)</f>
        <v>Sales</v>
      </c>
      <c r="D30" s="5">
        <v>45688</v>
      </c>
      <c r="E30" s="4" t="s">
        <v>42</v>
      </c>
      <c r="F30" s="4" t="s">
        <v>48</v>
      </c>
      <c r="G30" s="4">
        <v>520</v>
      </c>
      <c r="H30" s="4" t="s">
        <v>16</v>
      </c>
      <c r="I30" s="4" t="s">
        <v>17</v>
      </c>
      <c r="J30" s="4">
        <v>500</v>
      </c>
      <c r="K30" s="4" t="s">
        <v>18</v>
      </c>
      <c r="L30" s="4" t="s">
        <v>64</v>
      </c>
      <c r="M30" s="8" t="str">
        <f t="shared" si="0"/>
        <v>Yes</v>
      </c>
      <c r="N30" s="8" t="str">
        <f t="shared" si="1"/>
        <v>No</v>
      </c>
      <c r="O30" s="8" t="str">
        <f t="shared" si="2"/>
        <v>No</v>
      </c>
      <c r="P30" s="8" t="str">
        <f t="shared" si="3"/>
        <v>No</v>
      </c>
      <c r="Q30" s="8" t="str">
        <f t="shared" si="4"/>
        <v>Review Required</v>
      </c>
    </row>
    <row r="31" spans="1:17" x14ac:dyDescent="0.35">
      <c r="A31" s="13" t="s">
        <v>27</v>
      </c>
      <c r="B31" s="13" t="str">
        <f>VLOOKUP(A31,'Employee_Master Sheet'!$A$2:$B$11,2,FALSE)</f>
        <v>Nisha Jain</v>
      </c>
      <c r="C31" s="13" t="str">
        <f>VLOOKUP(A31,'Employee_Master Sheet'!$A$2:$C$11,3,FALSE)</f>
        <v>Operations</v>
      </c>
      <c r="D31" s="14">
        <v>45688</v>
      </c>
      <c r="E31" s="13" t="s">
        <v>14</v>
      </c>
      <c r="F31" s="13" t="s">
        <v>49</v>
      </c>
      <c r="G31" s="13">
        <v>480</v>
      </c>
      <c r="H31" s="13" t="s">
        <v>16</v>
      </c>
      <c r="I31" s="13" t="s">
        <v>17</v>
      </c>
      <c r="J31" s="13">
        <v>500</v>
      </c>
      <c r="K31" s="13" t="s">
        <v>18</v>
      </c>
      <c r="L31" s="13" t="s">
        <v>64</v>
      </c>
      <c r="M31" s="15" t="str">
        <f t="shared" si="0"/>
        <v>No</v>
      </c>
      <c r="N31" s="15" t="str">
        <f t="shared" si="1"/>
        <v>No</v>
      </c>
      <c r="O31" s="15" t="str">
        <f t="shared" si="2"/>
        <v>No</v>
      </c>
      <c r="P31" s="15" t="str">
        <f t="shared" si="3"/>
        <v>No</v>
      </c>
      <c r="Q31" s="15" t="str">
        <f t="shared" si="4"/>
        <v>Approved</v>
      </c>
    </row>
  </sheetData>
  <dataValidations count="2">
    <dataValidation type="list" allowBlank="1" showInputMessage="1" showErrorMessage="1" sqref="H2:H31" xr:uid="{042B1911-F751-4E4C-88CA-7874657EA2DB}">
      <formula1>"Yes,No"</formula1>
    </dataValidation>
    <dataValidation type="list" allowBlank="1" showInputMessage="1" showErrorMessage="1" sqref="I2:I31" xr:uid="{F50B2660-1830-4ED2-BFBE-FB11C437161E}">
      <formula1>"Cash,Card"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AF6A4-8DE5-495E-A209-C26C1430B5F0}">
  <dimension ref="A2:H28"/>
  <sheetViews>
    <sheetView showGridLines="0" workbookViewId="0">
      <selection activeCell="G20" sqref="G20"/>
    </sheetView>
  </sheetViews>
  <sheetFormatPr defaultRowHeight="14.5" x14ac:dyDescent="0.35"/>
  <cols>
    <col min="1" max="1" width="17.7265625" bestFit="1" customWidth="1"/>
    <col min="2" max="2" width="25.36328125" bestFit="1" customWidth="1"/>
    <col min="7" max="7" width="12.453125" bestFit="1" customWidth="1"/>
    <col min="8" max="8" width="13.6328125" bestFit="1" customWidth="1"/>
  </cols>
  <sheetData>
    <row r="2" spans="1:8" ht="14" customHeight="1" x14ac:dyDescent="0.35">
      <c r="A2" s="16" t="s">
        <v>78</v>
      </c>
      <c r="G2" s="16" t="s">
        <v>81</v>
      </c>
    </row>
    <row r="3" spans="1:8" x14ac:dyDescent="0.35">
      <c r="A3" s="10" t="s">
        <v>70</v>
      </c>
      <c r="B3" t="s">
        <v>74</v>
      </c>
      <c r="G3" s="10" t="s">
        <v>70</v>
      </c>
      <c r="H3" t="s">
        <v>77</v>
      </c>
    </row>
    <row r="4" spans="1:8" x14ac:dyDescent="0.35">
      <c r="A4" s="1" t="s">
        <v>71</v>
      </c>
      <c r="B4" s="18">
        <v>9</v>
      </c>
      <c r="G4" s="1" t="s">
        <v>36</v>
      </c>
      <c r="H4" s="18">
        <v>8320</v>
      </c>
    </row>
    <row r="5" spans="1:8" x14ac:dyDescent="0.35">
      <c r="A5" s="1" t="s">
        <v>72</v>
      </c>
      <c r="B5" s="18">
        <v>21</v>
      </c>
      <c r="G5" s="1" t="s">
        <v>34</v>
      </c>
      <c r="H5" s="18">
        <v>5550</v>
      </c>
    </row>
    <row r="6" spans="1:8" x14ac:dyDescent="0.35">
      <c r="A6" s="1" t="s">
        <v>73</v>
      </c>
      <c r="B6" s="18">
        <v>30</v>
      </c>
      <c r="G6" s="1" t="s">
        <v>29</v>
      </c>
      <c r="H6" s="18">
        <v>5350</v>
      </c>
    </row>
    <row r="7" spans="1:8" x14ac:dyDescent="0.35">
      <c r="A7" s="1"/>
      <c r="G7" s="1" t="s">
        <v>33</v>
      </c>
      <c r="H7" s="18">
        <v>4550</v>
      </c>
    </row>
    <row r="8" spans="1:8" x14ac:dyDescent="0.35">
      <c r="A8" s="17" t="s">
        <v>79</v>
      </c>
      <c r="G8" s="1" t="s">
        <v>32</v>
      </c>
      <c r="H8" s="18">
        <v>2850</v>
      </c>
    </row>
    <row r="9" spans="1:8" x14ac:dyDescent="0.35">
      <c r="A9" s="11" t="s">
        <v>65</v>
      </c>
      <c r="B9" s="1" t="s">
        <v>16</v>
      </c>
      <c r="G9" s="1" t="s">
        <v>30</v>
      </c>
      <c r="H9" s="18">
        <v>2050</v>
      </c>
    </row>
    <row r="10" spans="1:8" x14ac:dyDescent="0.35">
      <c r="G10" s="1" t="s">
        <v>37</v>
      </c>
      <c r="H10" s="18">
        <v>1980</v>
      </c>
    </row>
    <row r="11" spans="1:8" x14ac:dyDescent="0.35">
      <c r="A11" s="10" t="s">
        <v>70</v>
      </c>
      <c r="B11" t="s">
        <v>75</v>
      </c>
      <c r="G11" s="1" t="s">
        <v>31</v>
      </c>
      <c r="H11" s="18">
        <v>1750</v>
      </c>
    </row>
    <row r="12" spans="1:8" x14ac:dyDescent="0.35">
      <c r="A12" s="1" t="s">
        <v>39</v>
      </c>
      <c r="B12" s="18">
        <v>3</v>
      </c>
      <c r="G12" s="1" t="s">
        <v>12</v>
      </c>
      <c r="H12" s="18">
        <v>1430</v>
      </c>
    </row>
    <row r="13" spans="1:8" x14ac:dyDescent="0.35">
      <c r="A13" s="1" t="s">
        <v>40</v>
      </c>
      <c r="B13" s="18">
        <v>3</v>
      </c>
      <c r="G13" s="1" t="s">
        <v>35</v>
      </c>
      <c r="H13" s="18">
        <v>1170</v>
      </c>
    </row>
    <row r="14" spans="1:8" x14ac:dyDescent="0.35">
      <c r="A14" s="1" t="s">
        <v>38</v>
      </c>
      <c r="B14" s="18">
        <v>2</v>
      </c>
      <c r="G14" s="1" t="s">
        <v>73</v>
      </c>
      <c r="H14" s="18">
        <v>35000</v>
      </c>
    </row>
    <row r="15" spans="1:8" x14ac:dyDescent="0.35">
      <c r="A15" s="1" t="s">
        <v>41</v>
      </c>
      <c r="B15" s="18">
        <v>3</v>
      </c>
    </row>
    <row r="16" spans="1:8" x14ac:dyDescent="0.35">
      <c r="A16" s="1" t="s">
        <v>13</v>
      </c>
      <c r="B16" s="18">
        <v>7</v>
      </c>
    </row>
    <row r="17" spans="1:2" x14ac:dyDescent="0.35">
      <c r="A17" s="1" t="s">
        <v>73</v>
      </c>
      <c r="B17" s="18">
        <v>18</v>
      </c>
    </row>
    <row r="18" spans="1:2" x14ac:dyDescent="0.35">
      <c r="A18" s="1"/>
    </row>
    <row r="19" spans="1:2" x14ac:dyDescent="0.35">
      <c r="A19" s="17" t="s">
        <v>80</v>
      </c>
    </row>
    <row r="20" spans="1:2" x14ac:dyDescent="0.35">
      <c r="A20" s="11" t="s">
        <v>67</v>
      </c>
      <c r="B20" t="s">
        <v>16</v>
      </c>
    </row>
    <row r="22" spans="1:2" x14ac:dyDescent="0.35">
      <c r="A22" s="10" t="s">
        <v>70</v>
      </c>
      <c r="B22" t="s">
        <v>76</v>
      </c>
    </row>
    <row r="23" spans="1:2" x14ac:dyDescent="0.35">
      <c r="A23" s="1" t="s">
        <v>39</v>
      </c>
      <c r="B23" s="18">
        <v>1</v>
      </c>
    </row>
    <row r="24" spans="1:2" x14ac:dyDescent="0.35">
      <c r="A24" s="1" t="s">
        <v>40</v>
      </c>
      <c r="B24" s="18">
        <v>2</v>
      </c>
    </row>
    <row r="25" spans="1:2" x14ac:dyDescent="0.35">
      <c r="A25" s="1" t="s">
        <v>38</v>
      </c>
      <c r="B25" s="18">
        <v>1</v>
      </c>
    </row>
    <row r="26" spans="1:2" x14ac:dyDescent="0.35">
      <c r="A26" s="1" t="s">
        <v>41</v>
      </c>
      <c r="B26" s="18">
        <v>1</v>
      </c>
    </row>
    <row r="27" spans="1:2" x14ac:dyDescent="0.35">
      <c r="A27" s="1" t="s">
        <v>13</v>
      </c>
      <c r="B27" s="18">
        <v>1</v>
      </c>
    </row>
    <row r="28" spans="1:2" x14ac:dyDescent="0.35">
      <c r="A28" s="1" t="s">
        <v>73</v>
      </c>
      <c r="B28" s="18">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9080-C82D-451C-B80C-2B77A6537E05}">
  <dimension ref="B1:H107"/>
  <sheetViews>
    <sheetView showGridLines="0" tabSelected="1" zoomScale="70" zoomScaleNormal="70" workbookViewId="0">
      <selection activeCell="L48" sqref="L48"/>
    </sheetView>
  </sheetViews>
  <sheetFormatPr defaultRowHeight="14.5" x14ac:dyDescent="0.35"/>
  <cols>
    <col min="1" max="1" width="11.26953125" customWidth="1"/>
    <col min="2" max="2" width="29.36328125" customWidth="1"/>
    <col min="3" max="3" width="13.6328125" customWidth="1"/>
    <col min="4" max="4" width="33.1796875" bestFit="1" customWidth="1"/>
    <col min="5" max="5" width="13.6328125" customWidth="1"/>
    <col min="6" max="6" width="32" customWidth="1"/>
    <col min="7" max="7" width="13.6328125" customWidth="1"/>
    <col min="8" max="8" width="37.1796875" customWidth="1"/>
  </cols>
  <sheetData>
    <row r="1" spans="2:8" ht="15" thickBot="1" x14ac:dyDescent="0.4"/>
    <row r="2" spans="2:8" ht="48" thickBot="1" x14ac:dyDescent="0.4">
      <c r="D2" s="23" t="s">
        <v>90</v>
      </c>
      <c r="E2" s="24"/>
      <c r="F2" s="25"/>
    </row>
    <row r="3" spans="2:8" ht="20.5" customHeight="1" thickBot="1" x14ac:dyDescent="0.4"/>
    <row r="4" spans="2:8" ht="31" x14ac:dyDescent="0.35">
      <c r="B4" s="20" t="s">
        <v>82</v>
      </c>
      <c r="D4" s="20" t="s">
        <v>83</v>
      </c>
      <c r="F4" s="20" t="s">
        <v>84</v>
      </c>
      <c r="H4" s="20" t="s">
        <v>85</v>
      </c>
    </row>
    <row r="5" spans="2:8" ht="31.5" thickBot="1" x14ac:dyDescent="0.4">
      <c r="B5" s="21">
        <f>SUM(Table2[Amount])</f>
        <v>35000</v>
      </c>
      <c r="D5" s="22">
        <f>GETPIVOTDATA("Policy_Violation",$F$56)</f>
        <v>18</v>
      </c>
      <c r="F5" s="22">
        <f>COUNTIF(Table2[Cash_Payment_Flag],"Yes")</f>
        <v>6</v>
      </c>
      <c r="H5" s="22">
        <f>COUNTIF(Table2[Weekend_Expense_Flag],"yes")</f>
        <v>8</v>
      </c>
    </row>
    <row r="53" spans="2:7" x14ac:dyDescent="0.35">
      <c r="B53" s="16" t="s">
        <v>78</v>
      </c>
      <c r="F53" s="17" t="s">
        <v>79</v>
      </c>
    </row>
    <row r="54" spans="2:7" x14ac:dyDescent="0.35">
      <c r="B54" s="10" t="s">
        <v>70</v>
      </c>
      <c r="C54" t="s">
        <v>74</v>
      </c>
      <c r="F54" s="11" t="s">
        <v>65</v>
      </c>
      <c r="G54" s="1" t="s">
        <v>16</v>
      </c>
    </row>
    <row r="55" spans="2:7" x14ac:dyDescent="0.35">
      <c r="B55" s="1" t="s">
        <v>71</v>
      </c>
      <c r="C55" s="18">
        <v>9</v>
      </c>
    </row>
    <row r="56" spans="2:7" x14ac:dyDescent="0.35">
      <c r="B56" s="1" t="s">
        <v>72</v>
      </c>
      <c r="C56" s="18">
        <v>21</v>
      </c>
      <c r="F56" s="10" t="s">
        <v>70</v>
      </c>
      <c r="G56" t="s">
        <v>75</v>
      </c>
    </row>
    <row r="57" spans="2:7" x14ac:dyDescent="0.35">
      <c r="B57" s="1" t="s">
        <v>73</v>
      </c>
      <c r="C57" s="18">
        <v>30</v>
      </c>
      <c r="F57" s="1" t="s">
        <v>39</v>
      </c>
      <c r="G57" s="18">
        <v>3</v>
      </c>
    </row>
    <row r="58" spans="2:7" x14ac:dyDescent="0.35">
      <c r="F58" s="1" t="s">
        <v>40</v>
      </c>
      <c r="G58" s="18">
        <v>3</v>
      </c>
    </row>
    <row r="59" spans="2:7" x14ac:dyDescent="0.35">
      <c r="F59" s="1" t="s">
        <v>38</v>
      </c>
      <c r="G59" s="18">
        <v>2</v>
      </c>
    </row>
    <row r="60" spans="2:7" x14ac:dyDescent="0.35">
      <c r="F60" s="1" t="s">
        <v>41</v>
      </c>
      <c r="G60" s="18">
        <v>3</v>
      </c>
    </row>
    <row r="61" spans="2:7" x14ac:dyDescent="0.35">
      <c r="F61" s="1" t="s">
        <v>13</v>
      </c>
      <c r="G61" s="18">
        <v>7</v>
      </c>
    </row>
    <row r="62" spans="2:7" x14ac:dyDescent="0.35">
      <c r="F62" s="1" t="s">
        <v>73</v>
      </c>
      <c r="G62" s="18">
        <v>18</v>
      </c>
    </row>
    <row r="64" spans="2:7" x14ac:dyDescent="0.35">
      <c r="B64" s="17" t="s">
        <v>80</v>
      </c>
      <c r="F64" s="16" t="s">
        <v>81</v>
      </c>
    </row>
    <row r="65" spans="2:7" x14ac:dyDescent="0.35">
      <c r="B65" s="11" t="s">
        <v>87</v>
      </c>
      <c r="C65" t="s">
        <v>16</v>
      </c>
      <c r="F65" s="10" t="s">
        <v>70</v>
      </c>
      <c r="G65" t="s">
        <v>77</v>
      </c>
    </row>
    <row r="66" spans="2:7" x14ac:dyDescent="0.35">
      <c r="F66" s="1" t="s">
        <v>36</v>
      </c>
      <c r="G66" s="18">
        <v>8320</v>
      </c>
    </row>
    <row r="67" spans="2:7" x14ac:dyDescent="0.35">
      <c r="B67" s="10" t="s">
        <v>70</v>
      </c>
      <c r="C67" t="s">
        <v>86</v>
      </c>
      <c r="F67" s="1" t="s">
        <v>34</v>
      </c>
      <c r="G67" s="18">
        <v>5550</v>
      </c>
    </row>
    <row r="68" spans="2:7" x14ac:dyDescent="0.35">
      <c r="B68" s="1" t="s">
        <v>39</v>
      </c>
      <c r="C68" s="18">
        <v>1</v>
      </c>
      <c r="F68" s="1" t="s">
        <v>29</v>
      </c>
      <c r="G68" s="18">
        <v>5350</v>
      </c>
    </row>
    <row r="69" spans="2:7" x14ac:dyDescent="0.35">
      <c r="B69" s="1" t="s">
        <v>40</v>
      </c>
      <c r="C69" s="18">
        <v>2</v>
      </c>
      <c r="F69" s="1" t="s">
        <v>33</v>
      </c>
      <c r="G69" s="18">
        <v>4550</v>
      </c>
    </row>
    <row r="70" spans="2:7" x14ac:dyDescent="0.35">
      <c r="B70" s="1" t="s">
        <v>38</v>
      </c>
      <c r="C70" s="18">
        <v>1</v>
      </c>
      <c r="F70" s="1" t="s">
        <v>32</v>
      </c>
      <c r="G70" s="18">
        <v>2850</v>
      </c>
    </row>
    <row r="71" spans="2:7" x14ac:dyDescent="0.35">
      <c r="B71" s="1" t="s">
        <v>41</v>
      </c>
      <c r="C71" s="18">
        <v>1</v>
      </c>
      <c r="F71" s="1" t="s">
        <v>30</v>
      </c>
      <c r="G71" s="18">
        <v>2050</v>
      </c>
    </row>
    <row r="72" spans="2:7" x14ac:dyDescent="0.35">
      <c r="B72" s="1" t="s">
        <v>13</v>
      </c>
      <c r="C72" s="18">
        <v>1</v>
      </c>
      <c r="F72" s="1" t="s">
        <v>37</v>
      </c>
      <c r="G72" s="18">
        <v>1980</v>
      </c>
    </row>
    <row r="73" spans="2:7" x14ac:dyDescent="0.35">
      <c r="B73" s="1" t="s">
        <v>73</v>
      </c>
      <c r="C73" s="18">
        <v>6</v>
      </c>
      <c r="F73" s="1" t="s">
        <v>31</v>
      </c>
      <c r="G73" s="18">
        <v>1750</v>
      </c>
    </row>
    <row r="74" spans="2:7" x14ac:dyDescent="0.35">
      <c r="F74" s="1" t="s">
        <v>12</v>
      </c>
      <c r="G74" s="18">
        <v>1430</v>
      </c>
    </row>
    <row r="75" spans="2:7" x14ac:dyDescent="0.35">
      <c r="F75" s="1" t="s">
        <v>35</v>
      </c>
      <c r="G75" s="18">
        <v>1170</v>
      </c>
    </row>
    <row r="76" spans="2:7" x14ac:dyDescent="0.35">
      <c r="F76" s="1" t="s">
        <v>73</v>
      </c>
      <c r="G76" s="18">
        <v>35000</v>
      </c>
    </row>
    <row r="78" spans="2:7" x14ac:dyDescent="0.35">
      <c r="B78" s="16" t="s">
        <v>88</v>
      </c>
      <c r="F78" s="17" t="s">
        <v>89</v>
      </c>
    </row>
    <row r="79" spans="2:7" x14ac:dyDescent="0.35">
      <c r="B79" s="10" t="s">
        <v>70</v>
      </c>
      <c r="C79" t="s">
        <v>77</v>
      </c>
      <c r="F79" s="10" t="s">
        <v>70</v>
      </c>
      <c r="G79" t="s">
        <v>77</v>
      </c>
    </row>
    <row r="80" spans="2:7" x14ac:dyDescent="0.35">
      <c r="B80" s="1" t="s">
        <v>44</v>
      </c>
      <c r="C80" s="18">
        <v>15200</v>
      </c>
      <c r="F80" s="19">
        <v>45659</v>
      </c>
      <c r="G80" s="18">
        <v>350</v>
      </c>
    </row>
    <row r="81" spans="2:7" x14ac:dyDescent="0.35">
      <c r="B81" s="1" t="s">
        <v>42</v>
      </c>
      <c r="C81" s="18">
        <v>5370</v>
      </c>
      <c r="F81" s="19">
        <v>45660</v>
      </c>
      <c r="G81" s="18">
        <v>750</v>
      </c>
    </row>
    <row r="82" spans="2:7" x14ac:dyDescent="0.35">
      <c r="B82" s="1" t="s">
        <v>45</v>
      </c>
      <c r="C82" s="18">
        <v>4500</v>
      </c>
      <c r="F82" s="19">
        <v>45662</v>
      </c>
      <c r="G82" s="18">
        <v>1800</v>
      </c>
    </row>
    <row r="83" spans="2:7" x14ac:dyDescent="0.35">
      <c r="B83" s="1" t="s">
        <v>43</v>
      </c>
      <c r="C83" s="18">
        <v>3350</v>
      </c>
      <c r="F83" s="19">
        <v>45665</v>
      </c>
      <c r="G83" s="18">
        <v>900</v>
      </c>
    </row>
    <row r="84" spans="2:7" x14ac:dyDescent="0.35">
      <c r="B84" s="1" t="s">
        <v>14</v>
      </c>
      <c r="C84" s="18">
        <v>6580</v>
      </c>
      <c r="F84" s="19">
        <v>45666</v>
      </c>
      <c r="G84" s="18">
        <v>450</v>
      </c>
    </row>
    <row r="85" spans="2:7" x14ac:dyDescent="0.35">
      <c r="B85" s="1" t="s">
        <v>73</v>
      </c>
      <c r="C85" s="18">
        <v>35000</v>
      </c>
      <c r="F85" s="19">
        <v>45667</v>
      </c>
      <c r="G85" s="18">
        <v>400</v>
      </c>
    </row>
    <row r="86" spans="2:7" x14ac:dyDescent="0.35">
      <c r="F86" s="19">
        <v>45668</v>
      </c>
      <c r="G86" s="18">
        <v>3200</v>
      </c>
    </row>
    <row r="87" spans="2:7" x14ac:dyDescent="0.35">
      <c r="F87" s="19">
        <v>45669</v>
      </c>
      <c r="G87" s="18">
        <v>4500</v>
      </c>
    </row>
    <row r="88" spans="2:7" x14ac:dyDescent="0.35">
      <c r="F88" s="19">
        <v>45670</v>
      </c>
      <c r="G88" s="18">
        <v>550</v>
      </c>
    </row>
    <row r="89" spans="2:7" x14ac:dyDescent="0.35">
      <c r="F89" s="19">
        <v>45671</v>
      </c>
      <c r="G89" s="18">
        <v>200</v>
      </c>
    </row>
    <row r="90" spans="2:7" x14ac:dyDescent="0.35">
      <c r="F90" s="19">
        <v>45672</v>
      </c>
      <c r="G90" s="18">
        <v>2800</v>
      </c>
    </row>
    <row r="91" spans="2:7" x14ac:dyDescent="0.35">
      <c r="F91" s="19">
        <v>45673</v>
      </c>
      <c r="G91" s="18">
        <v>850</v>
      </c>
    </row>
    <row r="92" spans="2:7" x14ac:dyDescent="0.35">
      <c r="F92" s="19">
        <v>45674</v>
      </c>
      <c r="G92" s="18">
        <v>650</v>
      </c>
    </row>
    <row r="93" spans="2:7" x14ac:dyDescent="0.35">
      <c r="F93" s="19">
        <v>45675</v>
      </c>
      <c r="G93" s="18">
        <v>300</v>
      </c>
    </row>
    <row r="94" spans="2:7" x14ac:dyDescent="0.35">
      <c r="F94" s="19">
        <v>45676</v>
      </c>
      <c r="G94" s="18">
        <v>1100</v>
      </c>
    </row>
    <row r="95" spans="2:7" x14ac:dyDescent="0.35">
      <c r="F95" s="19">
        <v>45677</v>
      </c>
      <c r="G95" s="18">
        <v>450</v>
      </c>
    </row>
    <row r="96" spans="2:7" x14ac:dyDescent="0.35">
      <c r="F96" s="19">
        <v>45678</v>
      </c>
      <c r="G96" s="18">
        <v>520</v>
      </c>
    </row>
    <row r="97" spans="6:7" x14ac:dyDescent="0.35">
      <c r="F97" s="19">
        <v>45679</v>
      </c>
      <c r="G97" s="18">
        <v>5000</v>
      </c>
    </row>
    <row r="98" spans="6:7" x14ac:dyDescent="0.35">
      <c r="F98" s="19">
        <v>45680</v>
      </c>
      <c r="G98" s="18">
        <v>650</v>
      </c>
    </row>
    <row r="99" spans="6:7" x14ac:dyDescent="0.35">
      <c r="F99" s="19">
        <v>45681</v>
      </c>
      <c r="G99" s="18">
        <v>480</v>
      </c>
    </row>
    <row r="100" spans="6:7" x14ac:dyDescent="0.35">
      <c r="F100" s="19">
        <v>45682</v>
      </c>
      <c r="G100" s="18">
        <v>4200</v>
      </c>
    </row>
    <row r="101" spans="6:7" x14ac:dyDescent="0.35">
      <c r="F101" s="19">
        <v>45683</v>
      </c>
      <c r="G101" s="18">
        <v>300</v>
      </c>
    </row>
    <row r="102" spans="6:7" x14ac:dyDescent="0.35">
      <c r="F102" s="19">
        <v>45684</v>
      </c>
      <c r="G102" s="18">
        <v>550</v>
      </c>
    </row>
    <row r="103" spans="6:7" x14ac:dyDescent="0.35">
      <c r="F103" s="19">
        <v>45685</v>
      </c>
      <c r="G103" s="18">
        <v>1300</v>
      </c>
    </row>
    <row r="104" spans="6:7" x14ac:dyDescent="0.35">
      <c r="F104" s="19">
        <v>45686</v>
      </c>
      <c r="G104" s="18">
        <v>700</v>
      </c>
    </row>
    <row r="105" spans="6:7" x14ac:dyDescent="0.35">
      <c r="F105" s="19">
        <v>45687</v>
      </c>
      <c r="G105" s="18">
        <v>600</v>
      </c>
    </row>
    <row r="106" spans="6:7" x14ac:dyDescent="0.35">
      <c r="F106" s="19">
        <v>45688</v>
      </c>
      <c r="G106" s="18">
        <v>1450</v>
      </c>
    </row>
    <row r="107" spans="6:7" x14ac:dyDescent="0.35">
      <c r="F107" s="19" t="s">
        <v>73</v>
      </c>
      <c r="G107" s="18">
        <v>35000</v>
      </c>
    </row>
  </sheetData>
  <mergeCells count="1">
    <mergeCell ref="D2:F2"/>
  </mergeCells>
  <conditionalFormatting sqref="D5">
    <cfRule type="cellIs" dxfId="576" priority="10" operator="greaterThan">
      <formula>0</formula>
    </cfRule>
  </conditionalFormatting>
  <conditionalFormatting sqref="F5">
    <cfRule type="cellIs" dxfId="575" priority="9" operator="greaterThan">
      <formula>0</formula>
    </cfRule>
  </conditionalFormatting>
  <conditionalFormatting sqref="H5">
    <cfRule type="cellIs" dxfId="574" priority="8" operator="greaterThan">
      <formula>0</formula>
    </cfRule>
  </conditionalFormatting>
  <conditionalFormatting pivot="1" sqref="G57:G61">
    <cfRule type="cellIs" dxfId="573" priority="2" operator="greaterThan">
      <formula>0</formula>
    </cfRule>
  </conditionalFormatting>
  <conditionalFormatting pivot="1" sqref="G66:G75">
    <cfRule type="top10" dxfId="572" priority="1" rank="3"/>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Employee_Master Sheet</vt:lpstr>
      <vt:lpstr>Expense Raw Data</vt:lpstr>
      <vt:lpstr>Summary</vt:lpstr>
      <vt:lpstr>Dashboard</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Pahuja</dc:creator>
  <cp:lastModifiedBy>Vanshika Pahuja</cp:lastModifiedBy>
  <dcterms:created xsi:type="dcterms:W3CDTF">2025-12-24T21:02:58Z</dcterms:created>
  <dcterms:modified xsi:type="dcterms:W3CDTF">2026-01-03T16:38:44Z</dcterms:modified>
</cp:coreProperties>
</file>